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20" windowWidth="19980" windowHeight="8070"/>
  </bookViews>
  <sheets>
    <sheet name="RESUMEN" sheetId="1" r:id="rId1"/>
    <sheet name="detalle expensas" sheetId="4" r:id="rId2"/>
    <sheet name="CAJA(según planillas)" sheetId="5" r:id="rId3"/>
    <sheet name="DEUDORES" sheetId="6" r:id="rId4"/>
  </sheets>
  <calcPr calcId="145621"/>
</workbook>
</file>

<file path=xl/calcChain.xml><?xml version="1.0" encoding="utf-8"?>
<calcChain xmlns="http://schemas.openxmlformats.org/spreadsheetml/2006/main">
  <c r="C61" i="1" l="1"/>
  <c r="D62" i="1" s="1"/>
  <c r="T4" i="6"/>
  <c r="S4" i="6" s="1"/>
  <c r="E6" i="6"/>
  <c r="F6" i="6" s="1"/>
  <c r="G6" i="6"/>
  <c r="I6" i="6"/>
  <c r="K6" i="6"/>
  <c r="M6" i="6"/>
  <c r="M4" i="6" s="1"/>
  <c r="C36" i="5" s="1"/>
  <c r="O6" i="6"/>
  <c r="Q6" i="6"/>
  <c r="Q4" i="6" s="1"/>
  <c r="C52" i="5" s="1"/>
  <c r="S6" i="6"/>
  <c r="E7" i="6"/>
  <c r="F7" i="6" s="1"/>
  <c r="G7" i="6"/>
  <c r="G4" i="6" s="1"/>
  <c r="C12" i="5" s="1"/>
  <c r="I7" i="6"/>
  <c r="J7" i="6" s="1"/>
  <c r="L3" i="6" s="1"/>
  <c r="C28" i="5" s="1"/>
  <c r="K7" i="6"/>
  <c r="M7" i="6"/>
  <c r="N7" i="6"/>
  <c r="O7" i="6"/>
  <c r="P7" i="6" s="1"/>
  <c r="Q7" i="6"/>
  <c r="S7" i="6"/>
  <c r="E8" i="6"/>
  <c r="E4" i="6" s="1"/>
  <c r="C11" i="5" s="1"/>
  <c r="G8" i="6"/>
  <c r="I8" i="6"/>
  <c r="I4" i="6" s="1"/>
  <c r="C21" i="5" s="1"/>
  <c r="K8" i="6"/>
  <c r="M8" i="6"/>
  <c r="O8" i="6"/>
  <c r="O4" i="6" s="1"/>
  <c r="C44" i="5" s="1"/>
  <c r="Q8" i="6"/>
  <c r="S8" i="6"/>
  <c r="E9" i="6"/>
  <c r="G9" i="6"/>
  <c r="I9" i="6"/>
  <c r="K9" i="6"/>
  <c r="M9" i="6"/>
  <c r="O9" i="6"/>
  <c r="Q9" i="6"/>
  <c r="S9" i="6"/>
  <c r="E10" i="6"/>
  <c r="G10" i="6"/>
  <c r="I10" i="6"/>
  <c r="K10" i="6"/>
  <c r="M10" i="6"/>
  <c r="O10" i="6"/>
  <c r="Q10" i="6"/>
  <c r="S10" i="6"/>
  <c r="E11" i="6"/>
  <c r="G11" i="6"/>
  <c r="I11" i="6"/>
  <c r="K11" i="6"/>
  <c r="M11" i="6"/>
  <c r="O11" i="6"/>
  <c r="Q11" i="6"/>
  <c r="S11" i="6"/>
  <c r="E12" i="6"/>
  <c r="F12" i="6"/>
  <c r="G12" i="6"/>
  <c r="H12" i="6" s="1"/>
  <c r="J12" i="6" s="1"/>
  <c r="I12" i="6"/>
  <c r="K12" i="6"/>
  <c r="L12" i="6" s="1"/>
  <c r="N12" i="6" s="1"/>
  <c r="M12" i="6"/>
  <c r="O12" i="6"/>
  <c r="Q12" i="6"/>
  <c r="S12" i="6"/>
  <c r="E13" i="6"/>
  <c r="G13" i="6"/>
  <c r="I13" i="6"/>
  <c r="J13" i="6" s="1"/>
  <c r="K13" i="6"/>
  <c r="K4" i="6" s="1"/>
  <c r="C27" i="5" s="1"/>
  <c r="M13" i="6"/>
  <c r="O13" i="6"/>
  <c r="Q13" i="6"/>
  <c r="S13" i="6"/>
  <c r="E14" i="6"/>
  <c r="G14" i="6"/>
  <c r="I14" i="6"/>
  <c r="K14" i="6"/>
  <c r="M14" i="6"/>
  <c r="O14" i="6"/>
  <c r="Q14" i="6"/>
  <c r="S14" i="6"/>
  <c r="E15" i="6"/>
  <c r="G15" i="6"/>
  <c r="I15" i="6"/>
  <c r="K15" i="6"/>
  <c r="M15" i="6"/>
  <c r="O15" i="6"/>
  <c r="Q15" i="6"/>
  <c r="S15" i="6"/>
  <c r="E16" i="6"/>
  <c r="G16" i="6"/>
  <c r="I16" i="6"/>
  <c r="K16" i="6"/>
  <c r="M16" i="6"/>
  <c r="O16" i="6"/>
  <c r="Q16" i="6"/>
  <c r="S16" i="6"/>
  <c r="E17" i="6"/>
  <c r="G17" i="6"/>
  <c r="I17" i="6"/>
  <c r="K17" i="6"/>
  <c r="M17" i="6"/>
  <c r="O17" i="6"/>
  <c r="Q17" i="6"/>
  <c r="R17" i="6"/>
  <c r="S17" i="6"/>
  <c r="E18" i="6"/>
  <c r="F18" i="6" s="1"/>
  <c r="G18" i="6"/>
  <c r="H18" i="6"/>
  <c r="I18" i="6"/>
  <c r="K18" i="6"/>
  <c r="M18" i="6"/>
  <c r="O18" i="6"/>
  <c r="Q18" i="6"/>
  <c r="S18" i="6"/>
  <c r="E19" i="6"/>
  <c r="G19" i="6"/>
  <c r="I19" i="6"/>
  <c r="K19" i="6"/>
  <c r="M19" i="6"/>
  <c r="O19" i="6"/>
  <c r="Q19" i="6"/>
  <c r="R19" i="6"/>
  <c r="S19" i="6"/>
  <c r="E20" i="6"/>
  <c r="F20" i="6" s="1"/>
  <c r="G20" i="6"/>
  <c r="H20" i="6"/>
  <c r="I20" i="6"/>
  <c r="K20" i="6"/>
  <c r="M20" i="6"/>
  <c r="O20" i="6"/>
  <c r="Q20" i="6"/>
  <c r="S20" i="6"/>
  <c r="E21" i="6"/>
  <c r="G21" i="6"/>
  <c r="H21" i="6"/>
  <c r="I21" i="6"/>
  <c r="J21" i="6" s="1"/>
  <c r="K21" i="6"/>
  <c r="M21" i="6"/>
  <c r="O21" i="6"/>
  <c r="P21" i="6" s="1"/>
  <c r="Q21" i="6"/>
  <c r="S21" i="6"/>
  <c r="E22" i="6"/>
  <c r="F22" i="6" s="1"/>
  <c r="G22" i="6"/>
  <c r="I22" i="6"/>
  <c r="J22" i="6" s="1"/>
  <c r="K22" i="6"/>
  <c r="M22" i="6"/>
  <c r="O22" i="6"/>
  <c r="Q22" i="6"/>
  <c r="S22" i="6"/>
  <c r="E23" i="6"/>
  <c r="F23" i="6"/>
  <c r="G23" i="6"/>
  <c r="I23" i="6"/>
  <c r="J23" i="6"/>
  <c r="K23" i="6"/>
  <c r="L23" i="6" s="1"/>
  <c r="M23" i="6"/>
  <c r="O23" i="6"/>
  <c r="P23" i="6"/>
  <c r="Q23" i="6"/>
  <c r="S23" i="6"/>
  <c r="E24" i="6"/>
  <c r="G24" i="6"/>
  <c r="I24" i="6"/>
  <c r="K24" i="6"/>
  <c r="M24" i="6"/>
  <c r="O24" i="6"/>
  <c r="Q24" i="6"/>
  <c r="S24" i="6"/>
  <c r="E25" i="6"/>
  <c r="F25" i="6"/>
  <c r="H25" i="6" s="1"/>
  <c r="J25" i="6" s="1"/>
  <c r="G25" i="6"/>
  <c r="I25" i="6"/>
  <c r="K25" i="6"/>
  <c r="M25" i="6"/>
  <c r="O25" i="6"/>
  <c r="Q25" i="6"/>
  <c r="S25" i="6"/>
  <c r="E26" i="6"/>
  <c r="G26" i="6"/>
  <c r="I26" i="6"/>
  <c r="K26" i="6"/>
  <c r="M26" i="6"/>
  <c r="O26" i="6"/>
  <c r="Q26" i="6"/>
  <c r="S26" i="6"/>
  <c r="E27" i="6"/>
  <c r="G27" i="6"/>
  <c r="H27" i="6"/>
  <c r="I27" i="6"/>
  <c r="K27" i="6"/>
  <c r="M27" i="6"/>
  <c r="O27" i="6"/>
  <c r="P27" i="6" s="1"/>
  <c r="Q27" i="6"/>
  <c r="S27" i="6"/>
  <c r="E28" i="6"/>
  <c r="G28" i="6"/>
  <c r="I28" i="6"/>
  <c r="J28" i="6"/>
  <c r="K28" i="6"/>
  <c r="M28" i="6"/>
  <c r="O28" i="6"/>
  <c r="Q28" i="6"/>
  <c r="S28" i="6"/>
  <c r="E29" i="6"/>
  <c r="G29" i="6"/>
  <c r="H29" i="6"/>
  <c r="I29" i="6"/>
  <c r="J29" i="6" s="1"/>
  <c r="L29" i="6" s="1"/>
  <c r="K29" i="6"/>
  <c r="M29" i="6"/>
  <c r="N29" i="6" s="1"/>
  <c r="O29" i="6"/>
  <c r="Q29" i="6"/>
  <c r="S29" i="6"/>
  <c r="E30" i="6"/>
  <c r="G30" i="6"/>
  <c r="H30" i="6"/>
  <c r="I30" i="6"/>
  <c r="J30" i="6" s="1"/>
  <c r="K30" i="6"/>
  <c r="M30" i="6"/>
  <c r="O30" i="6"/>
  <c r="Q30" i="6"/>
  <c r="S30" i="6"/>
  <c r="E31" i="6"/>
  <c r="F31" i="6"/>
  <c r="G31" i="6"/>
  <c r="I31" i="6"/>
  <c r="K31" i="6"/>
  <c r="M31" i="6"/>
  <c r="O31" i="6"/>
  <c r="Q31" i="6"/>
  <c r="S31" i="6"/>
  <c r="E32" i="6"/>
  <c r="G32" i="6"/>
  <c r="I32" i="6"/>
  <c r="K32" i="6"/>
  <c r="M32" i="6"/>
  <c r="O32" i="6"/>
  <c r="Q32" i="6"/>
  <c r="S32" i="6"/>
  <c r="E33" i="6"/>
  <c r="G33" i="6"/>
  <c r="I33" i="6"/>
  <c r="K33" i="6"/>
  <c r="M33" i="6"/>
  <c r="N33" i="6" s="1"/>
  <c r="O33" i="6"/>
  <c r="P33" i="6"/>
  <c r="Q33" i="6"/>
  <c r="S33" i="6"/>
  <c r="E34" i="6"/>
  <c r="F34" i="6"/>
  <c r="G34" i="6"/>
  <c r="I34" i="6"/>
  <c r="K34" i="6"/>
  <c r="M34" i="6"/>
  <c r="O34" i="6"/>
  <c r="Q34" i="6"/>
  <c r="S34" i="6"/>
  <c r="E35" i="6"/>
  <c r="F35" i="6"/>
  <c r="G35" i="6"/>
  <c r="I35" i="6"/>
  <c r="K35" i="6"/>
  <c r="M35" i="6"/>
  <c r="O35" i="6"/>
  <c r="Q35" i="6"/>
  <c r="S35" i="6"/>
  <c r="E36" i="6"/>
  <c r="G36" i="6"/>
  <c r="I36" i="6"/>
  <c r="K36" i="6"/>
  <c r="M36" i="6"/>
  <c r="O36" i="6"/>
  <c r="Q36" i="6"/>
  <c r="S36" i="6"/>
  <c r="E37" i="6"/>
  <c r="F37" i="6" s="1"/>
  <c r="G37" i="6"/>
  <c r="I37" i="6"/>
  <c r="J37" i="6"/>
  <c r="K37" i="6"/>
  <c r="M37" i="6"/>
  <c r="O37" i="6"/>
  <c r="Q37" i="6"/>
  <c r="S37" i="6"/>
  <c r="E38" i="6"/>
  <c r="F38" i="6"/>
  <c r="G38" i="6"/>
  <c r="H38" i="6" s="1"/>
  <c r="J38" i="6" s="1"/>
  <c r="I38" i="6"/>
  <c r="K38" i="6"/>
  <c r="M38" i="6"/>
  <c r="O38" i="6"/>
  <c r="Q38" i="6"/>
  <c r="S38" i="6"/>
  <c r="E39" i="6"/>
  <c r="G39" i="6"/>
  <c r="I39" i="6"/>
  <c r="K39" i="6"/>
  <c r="M39" i="6"/>
  <c r="O39" i="6"/>
  <c r="Q39" i="6"/>
  <c r="S39" i="6"/>
  <c r="E40" i="6"/>
  <c r="G40" i="6"/>
  <c r="H40" i="6" s="1"/>
  <c r="I40" i="6"/>
  <c r="K40" i="6"/>
  <c r="M40" i="6"/>
  <c r="O40" i="6"/>
  <c r="Q40" i="6"/>
  <c r="S40" i="6"/>
  <c r="E41" i="6"/>
  <c r="F41" i="6"/>
  <c r="G41" i="6"/>
  <c r="I41" i="6"/>
  <c r="J41" i="6" s="1"/>
  <c r="K41" i="6"/>
  <c r="M41" i="6"/>
  <c r="N41" i="6"/>
  <c r="O41" i="6"/>
  <c r="P41" i="6" s="1"/>
  <c r="Q41" i="6"/>
  <c r="S41" i="6"/>
  <c r="E42" i="6"/>
  <c r="G42" i="6"/>
  <c r="I42" i="6"/>
  <c r="K42" i="6"/>
  <c r="M42" i="6"/>
  <c r="O42" i="6"/>
  <c r="Q42" i="6"/>
  <c r="S42" i="6"/>
  <c r="E43" i="6"/>
  <c r="G43" i="6"/>
  <c r="I43" i="6"/>
  <c r="K43" i="6"/>
  <c r="M43" i="6"/>
  <c r="O43" i="6"/>
  <c r="Q43" i="6"/>
  <c r="S43" i="6"/>
  <c r="E44" i="6"/>
  <c r="G44" i="6"/>
  <c r="I44" i="6"/>
  <c r="K44" i="6"/>
  <c r="M44" i="6"/>
  <c r="O44" i="6"/>
  <c r="Q44" i="6"/>
  <c r="S44" i="6"/>
  <c r="E45" i="6"/>
  <c r="F45" i="6" s="1"/>
  <c r="H45" i="6" s="1"/>
  <c r="J45" i="6" s="1"/>
  <c r="G45" i="6"/>
  <c r="I45" i="6"/>
  <c r="K45" i="6"/>
  <c r="M45" i="6"/>
  <c r="O45" i="6"/>
  <c r="Q45" i="6"/>
  <c r="S45" i="6"/>
  <c r="F47" i="6"/>
  <c r="H47" i="6"/>
  <c r="L47" i="6"/>
  <c r="N47" i="6"/>
  <c r="P47" i="6"/>
  <c r="H1" i="5"/>
  <c r="F3" i="5"/>
  <c r="F4" i="5" s="1"/>
  <c r="F5" i="5" s="1"/>
  <c r="F6" i="5" s="1"/>
  <c r="F7" i="5" s="1"/>
  <c r="F8" i="5" s="1"/>
  <c r="F9" i="5" s="1"/>
  <c r="F10" i="5" s="1"/>
  <c r="D10" i="5"/>
  <c r="C14" i="5"/>
  <c r="C15" i="5"/>
  <c r="C16" i="5"/>
  <c r="C3" i="4"/>
  <c r="E3" i="4"/>
  <c r="E4" i="4" s="1"/>
  <c r="G3" i="4"/>
  <c r="H3" i="4"/>
  <c r="I3" i="4"/>
  <c r="I4" i="4" s="1"/>
  <c r="J3" i="4"/>
  <c r="G4" i="4"/>
  <c r="H4" i="4"/>
  <c r="J4" i="4"/>
  <c r="F9" i="4"/>
  <c r="F3" i="4" s="1"/>
  <c r="F4" i="4" s="1"/>
  <c r="B10" i="4"/>
  <c r="B3" i="4" s="1"/>
  <c r="D14" i="4"/>
  <c r="D3" i="4" s="1"/>
  <c r="D4" i="4" s="1"/>
  <c r="D15" i="4"/>
  <c r="I16" i="4"/>
  <c r="P3" i="6" l="1"/>
  <c r="C45" i="5" s="1"/>
  <c r="R7" i="6"/>
  <c r="R4" i="6" s="1"/>
  <c r="E54" i="5" s="1"/>
  <c r="C59" i="5" s="1"/>
  <c r="P4" i="6"/>
  <c r="E48" i="5" s="1"/>
  <c r="L38" i="6"/>
  <c r="N38" i="6" s="1"/>
  <c r="N4" i="6" s="1"/>
  <c r="E40" i="5" s="1"/>
  <c r="H3" i="6"/>
  <c r="C13" i="5" s="1"/>
  <c r="H6" i="6"/>
  <c r="F4" i="6"/>
  <c r="P38" i="6"/>
  <c r="R3" i="6" s="1"/>
  <c r="C53" i="5" s="1"/>
  <c r="J3" i="6"/>
  <c r="C22" i="5" s="1"/>
  <c r="F11" i="5"/>
  <c r="F12" i="5" s="1"/>
  <c r="F13" i="5" l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H4" i="6"/>
  <c r="E17" i="5" s="1"/>
  <c r="J6" i="6"/>
  <c r="L6" i="6" l="1"/>
  <c r="J4" i="6"/>
  <c r="E23" i="5" s="1"/>
  <c r="L4" i="6" l="1"/>
  <c r="E32" i="5" s="1"/>
  <c r="N3" i="6"/>
  <c r="C37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D54" i="1"/>
  <c r="C53" i="1"/>
  <c r="D46" i="1" l="1"/>
  <c r="C45" i="1"/>
  <c r="C37" i="1" l="1"/>
  <c r="D38" i="1" s="1"/>
  <c r="C25" i="1" l="1"/>
  <c r="C17" i="1"/>
  <c r="C9" i="1"/>
  <c r="D6" i="1" l="1"/>
  <c r="D14" i="1"/>
  <c r="D22" i="1"/>
  <c r="D30" i="1"/>
</calcChain>
</file>

<file path=xl/sharedStrings.xml><?xml version="1.0" encoding="utf-8"?>
<sst xmlns="http://schemas.openxmlformats.org/spreadsheetml/2006/main" count="199" uniqueCount="120">
  <si>
    <t>GASTOS</t>
  </si>
  <si>
    <t>OTROS GASTOS</t>
  </si>
  <si>
    <t>DEUDORES</t>
  </si>
  <si>
    <t>SALDO ANTERIOR</t>
  </si>
  <si>
    <t>SALDO</t>
  </si>
  <si>
    <t>FEBRERO</t>
  </si>
  <si>
    <t>MARZO</t>
  </si>
  <si>
    <t>ABRIL</t>
  </si>
  <si>
    <t>MAYO</t>
  </si>
  <si>
    <t>F.F.</t>
  </si>
  <si>
    <t>JUNIO</t>
  </si>
  <si>
    <t>DISPONIBILIDAD</t>
  </si>
  <si>
    <t>DISPONIBIILDAD</t>
  </si>
  <si>
    <t>JULIO</t>
  </si>
  <si>
    <t>AGOSTO</t>
  </si>
  <si>
    <t>LA RAPIDA - destape 4B</t>
  </si>
  <si>
    <t>LA RAPIDA - destape PB C</t>
  </si>
  <si>
    <t>Reparacion Cerradura INGRESO</t>
  </si>
  <si>
    <t>HERNAN ROMANO - Limpieza Caños Desagüe sector C</t>
  </si>
  <si>
    <t>NOPLAX - Limpieza de Tanques</t>
  </si>
  <si>
    <t>LIBRERÍA -</t>
  </si>
  <si>
    <t>ELECTRO A - REVISION LUCES</t>
  </si>
  <si>
    <t>ART LIMPIEZA - LA GALLEGA</t>
  </si>
  <si>
    <t>FOTOCOPIAS</t>
  </si>
  <si>
    <t>CERRAJERIA</t>
  </si>
  <si>
    <t>HONORARIOS ABOGADA (envio CD)</t>
  </si>
  <si>
    <t>LA RAPIDA - NO LIQUIDADO Adm anterior</t>
  </si>
  <si>
    <t xml:space="preserve">AFIP - plan pagos </t>
  </si>
  <si>
    <t>Gastos Varios Extraordinarios</t>
  </si>
  <si>
    <t xml:space="preserve">COMISION Bco ROELA </t>
  </si>
  <si>
    <t>HONORARIOS ADMNISTRACION</t>
  </si>
  <si>
    <t>SBARRA - AYUDA VECINAL</t>
  </si>
  <si>
    <t xml:space="preserve">E.P.E. - </t>
  </si>
  <si>
    <t>GASTOS BANCARIOS</t>
  </si>
  <si>
    <t>LA SEGUNDA - ACC. PERSONALES</t>
  </si>
  <si>
    <t>LA SEGUNDA - SEGURO EDIFICIO</t>
  </si>
  <si>
    <t>CONVER - SERVICE ASCENSOR</t>
  </si>
  <si>
    <t>JUANORAMA - Serv Limpieza</t>
  </si>
  <si>
    <t xml:space="preserve">SERVICIO DE LIMPIEZA </t>
  </si>
  <si>
    <t>Gastos Mensuales FIJOS</t>
  </si>
  <si>
    <t xml:space="preserve">FONDO FIJO - Saldo pactado </t>
  </si>
  <si>
    <t xml:space="preserve">Total de gastos </t>
  </si>
  <si>
    <t>sept</t>
  </si>
  <si>
    <t>agos</t>
  </si>
  <si>
    <t>jul</t>
  </si>
  <si>
    <t>jun</t>
  </si>
  <si>
    <t>may</t>
  </si>
  <si>
    <t>abr</t>
  </si>
  <si>
    <t>mar</t>
  </si>
  <si>
    <t>feb</t>
  </si>
  <si>
    <t>SEPTIEMBRE</t>
  </si>
  <si>
    <t>ENERO</t>
  </si>
  <si>
    <t>CONCEPTO</t>
  </si>
  <si>
    <t xml:space="preserve">COBRO DEUDORES ATRASADOS  </t>
  </si>
  <si>
    <t>FONDO FIJO AGOSTO</t>
  </si>
  <si>
    <t>GASTOS AGOSTO</t>
  </si>
  <si>
    <t>DEUDORES AL 31-8</t>
  </si>
  <si>
    <t xml:space="preserve">COBRO DEUDORES ATRASADOS </t>
  </si>
  <si>
    <t>COBRO EXPENSAS JULIO (AL 31-7)</t>
  </si>
  <si>
    <t>FONDO FIJO JULIO</t>
  </si>
  <si>
    <t>GASTOS JULIO</t>
  </si>
  <si>
    <t>DEUDORES AL 31-7</t>
  </si>
  <si>
    <t>Exp. Aduedadas Admin Anterior Extraord 08-01</t>
  </si>
  <si>
    <t>Exp. Aduedadas Admin Anterior 08-01</t>
  </si>
  <si>
    <t>COBRO EXPENSAS JUNIO (AL 31-7)</t>
  </si>
  <si>
    <t>FONDO FIJO JUNIO</t>
  </si>
  <si>
    <t>GASTOS JUNIO</t>
  </si>
  <si>
    <t>DEUDORES AL 30-06</t>
  </si>
  <si>
    <t>COBRO EXPENSAS MAYO (AL 30-06)</t>
  </si>
  <si>
    <t>FONDO FIJO MAYO</t>
  </si>
  <si>
    <t>GASTOS MAYO</t>
  </si>
  <si>
    <t>DEUDORES AL 31-05</t>
  </si>
  <si>
    <t>Exp. Aduedadas Admin Anterior Extraord 03-04</t>
  </si>
  <si>
    <t>Exp. Aduedadas Admin Anterior 09-04</t>
  </si>
  <si>
    <t>Exp. Aduedadas Admin Anterior 04-01</t>
  </si>
  <si>
    <t>COBRO EXPENSAS ABRIL (AL 31-05)</t>
  </si>
  <si>
    <t xml:space="preserve">FONDO FIJO ABRIL </t>
  </si>
  <si>
    <t>GASTOS ABRIL</t>
  </si>
  <si>
    <t>DEUDORES AL 30-4</t>
  </si>
  <si>
    <t>COBRO EXPENSAS MARZO (al 30-04)</t>
  </si>
  <si>
    <t xml:space="preserve">FONDO FIJO MARZO </t>
  </si>
  <si>
    <t>GASTOS MARZO</t>
  </si>
  <si>
    <t>DEUDORES AL 31-03</t>
  </si>
  <si>
    <t>Exp. Aduedadas Admin Anterior 05-03</t>
  </si>
  <si>
    <t>Exp. Aduedadas Admin Anterior 03-01</t>
  </si>
  <si>
    <t>Exp. Aduedadas Admin Anterior 01-02</t>
  </si>
  <si>
    <t>COBRO EXPENSAS FEBRERO (AL 31-03)</t>
  </si>
  <si>
    <t>COBRO EXPENSAS ENERO (AL 28-02)</t>
  </si>
  <si>
    <t>FONDO FIJO FEBRERO</t>
  </si>
  <si>
    <t>GASTOS FEBRERO</t>
  </si>
  <si>
    <t>GASTOS ENERO</t>
  </si>
  <si>
    <t>Exp. Aduedadas Admin Anterior 07-04</t>
  </si>
  <si>
    <t>Exp. Aduedadas Admin Anterior  06-04</t>
  </si>
  <si>
    <t>Exp. Aduedadas Admin Anterior  05-02</t>
  </si>
  <si>
    <t>Exp. Aduedadas Admin Anterior 03-04</t>
  </si>
  <si>
    <t>Saldo Bancario al 28/Enero - Adm Anterior</t>
  </si>
  <si>
    <t>FONDO FIJO</t>
  </si>
  <si>
    <t xml:space="preserve">SALDO </t>
  </si>
  <si>
    <t>SALIDAS</t>
  </si>
  <si>
    <t>INGRESOS</t>
  </si>
  <si>
    <t>DETALLE DE CAJA</t>
  </si>
  <si>
    <t>FECHA / MES</t>
  </si>
  <si>
    <t>EXTRAORDINARIOS</t>
  </si>
  <si>
    <t>00-04</t>
  </si>
  <si>
    <t>00-03</t>
  </si>
  <si>
    <t>00-02</t>
  </si>
  <si>
    <t>00-01</t>
  </si>
  <si>
    <t>COBRADO MES</t>
  </si>
  <si>
    <t xml:space="preserve">COBRADO Deuda </t>
  </si>
  <si>
    <t>Deuda</t>
  </si>
  <si>
    <t>DEUDA ANTERIOR</t>
  </si>
  <si>
    <t>AL 31-8</t>
  </si>
  <si>
    <t>AL 31-07</t>
  </si>
  <si>
    <t>AL 30-06</t>
  </si>
  <si>
    <t>AL 31-05</t>
  </si>
  <si>
    <t>AL 30-04</t>
  </si>
  <si>
    <t>AL 31-03</t>
  </si>
  <si>
    <t>AL 05-03</t>
  </si>
  <si>
    <t>%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</si>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</sst>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[$$-2C0A]\ #,##0.00"/>
    <numFmt numFmtId="165" formatCode="_ [$$-2C0A]\ * #,##0.00_ ;_ [$$-2C0A]\ * \-#,##0.00_ ;_ [$$-2C0A]\ * &quot;-&quot;??_ ;_ @_ "/>
    <numFmt numFmtId="166" formatCode="_ &quot;$&quot;\ * #,##0.00_ ;_ &quot;$&quot;\ * \-#,##0.00_ ;_ &quot;$&quot;\ * &quot;-&quot;??_ ;_ @_ "/>
    <numFmt numFmtId="167" formatCode="&quot;$&quot;\ #,##0.00"/>
    <numFmt numFmtId="168" formatCode="0#\-0#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color theme="3" tint="0.39997558519241921"/>
      <name val="Calibri"/>
      <family val="2"/>
      <scheme val="minor"/>
    </font>
    <font>
      <sz val="9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1" fillId="0" borderId="0" xfId="0" applyNumberFormat="1" applyFont="1" applyFill="1"/>
    <xf numFmtId="0" fontId="2" fillId="0" borderId="0" xfId="0" applyFont="1" applyAlignment="1"/>
    <xf numFmtId="164" fontId="1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5" fontId="1" fillId="2" borderId="0" xfId="0" applyNumberFormat="1" applyFont="1" applyFill="1"/>
    <xf numFmtId="44" fontId="1" fillId="0" borderId="0" xfId="1" applyFont="1" applyAlignment="1">
      <alignment horizontal="center"/>
    </xf>
    <xf numFmtId="44" fontId="0" fillId="0" borderId="0" xfId="1" applyFont="1"/>
    <xf numFmtId="44" fontId="1" fillId="2" borderId="0" xfId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166" fontId="0" fillId="0" borderId="0" xfId="0" applyNumberFormat="1" applyFill="1"/>
    <xf numFmtId="0" fontId="0" fillId="2" borderId="0" xfId="0" applyFill="1"/>
    <xf numFmtId="166" fontId="0" fillId="3" borderId="0" xfId="0" applyNumberFormat="1" applyFill="1"/>
    <xf numFmtId="0" fontId="0" fillId="3" borderId="0" xfId="0" applyFill="1"/>
    <xf numFmtId="166" fontId="5" fillId="4" borderId="0" xfId="0" applyNumberFormat="1" applyFont="1" applyFill="1"/>
    <xf numFmtId="166" fontId="7" fillId="4" borderId="0" xfId="0" applyNumberFormat="1" applyFont="1" applyFill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16" fontId="0" fillId="0" borderId="0" xfId="0" applyNumberFormat="1" applyAlignment="1">
      <alignment horizontal="center"/>
    </xf>
    <xf numFmtId="167" fontId="8" fillId="0" borderId="0" xfId="0" applyNumberFormat="1" applyFont="1"/>
    <xf numFmtId="167" fontId="0" fillId="0" borderId="0" xfId="0" applyNumberFormat="1" applyFill="1"/>
    <xf numFmtId="167" fontId="5" fillId="0" borderId="0" xfId="0" applyNumberFormat="1" applyFont="1" applyFill="1"/>
    <xf numFmtId="0" fontId="5" fillId="0" borderId="0" xfId="0" applyFont="1" applyFill="1"/>
    <xf numFmtId="16" fontId="0" fillId="0" borderId="0" xfId="0" applyNumberFormat="1" applyFill="1" applyAlignment="1">
      <alignment horizontal="center"/>
    </xf>
    <xf numFmtId="167" fontId="5" fillId="2" borderId="0" xfId="0" applyNumberFormat="1" applyFont="1" applyFill="1"/>
    <xf numFmtId="0" fontId="5" fillId="2" borderId="0" xfId="0" applyFont="1" applyFill="1"/>
    <xf numFmtId="4" fontId="9" fillId="5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left"/>
    </xf>
    <xf numFmtId="4" fontId="9" fillId="7" borderId="0" xfId="0" applyNumberFormat="1" applyFont="1" applyFill="1" applyAlignment="1">
      <alignment horizontal="right"/>
    </xf>
    <xf numFmtId="4" fontId="9" fillId="8" borderId="0" xfId="0" applyNumberFormat="1" applyFont="1" applyFill="1" applyAlignment="1">
      <alignment horizontal="right"/>
    </xf>
    <xf numFmtId="4" fontId="9" fillId="9" borderId="0" xfId="0" applyNumberFormat="1" applyFont="1" applyFill="1" applyAlignment="1">
      <alignment horizontal="right"/>
    </xf>
    <xf numFmtId="167" fontId="0" fillId="2" borderId="0" xfId="0" applyNumberFormat="1" applyFill="1"/>
    <xf numFmtId="4" fontId="10" fillId="6" borderId="0" xfId="0" applyNumberFormat="1" applyFont="1" applyFill="1" applyAlignment="1">
      <alignment horizontal="right"/>
    </xf>
    <xf numFmtId="4" fontId="5" fillId="6" borderId="0" xfId="0" applyNumberFormat="1" applyFont="1" applyFill="1" applyAlignment="1">
      <alignment horizontal="right"/>
    </xf>
    <xf numFmtId="167" fontId="0" fillId="10" borderId="0" xfId="0" applyNumberFormat="1" applyFill="1"/>
    <xf numFmtId="4" fontId="11" fillId="10" borderId="0" xfId="0" applyNumberFormat="1" applyFont="1" applyFill="1" applyAlignment="1"/>
    <xf numFmtId="167" fontId="0" fillId="0" borderId="1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5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13" fillId="10" borderId="0" xfId="0" applyFont="1" applyFill="1" applyAlignment="1">
      <alignment horizontal="left"/>
    </xf>
    <xf numFmtId="4" fontId="9" fillId="7" borderId="0" xfId="0" applyNumberFormat="1" applyFont="1" applyFill="1" applyAlignment="1">
      <alignment horizontal="center"/>
    </xf>
    <xf numFmtId="168" fontId="0" fillId="2" borderId="0" xfId="0" applyNumberForma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4" fontId="9" fillId="5" borderId="0" xfId="0" applyNumberFormat="1" applyFont="1" applyFill="1" applyAlignment="1">
      <alignment horizontal="center"/>
    </xf>
    <xf numFmtId="4" fontId="9" fillId="8" borderId="0" xfId="0" applyNumberFormat="1" applyFont="1" applyFill="1" applyAlignment="1">
      <alignment horizontal="center"/>
    </xf>
    <xf numFmtId="4" fontId="9" fillId="9" borderId="0" xfId="0" applyNumberFormat="1" applyFont="1" applyFill="1" applyAlignment="1">
      <alignment horizontal="center"/>
    </xf>
    <xf numFmtId="4" fontId="10" fillId="6" borderId="0" xfId="0" applyNumberFormat="1" applyFont="1" applyFill="1" applyAlignment="1">
      <alignment horizontal="center"/>
    </xf>
    <xf numFmtId="4" fontId="11" fillId="10" borderId="0" xfId="0" applyNumberFormat="1" applyFont="1" applyFill="1" applyAlignment="1">
      <alignment horizontal="center"/>
    </xf>
    <xf numFmtId="168" fontId="0" fillId="0" borderId="0" xfId="0" applyNumberFormat="1" applyAlignment="1"/>
    <xf numFmtId="4" fontId="6" fillId="11" borderId="0" xfId="0" applyNumberFormat="1" applyFont="1" applyFill="1" applyAlignment="1">
      <alignment horizontal="center"/>
    </xf>
    <xf numFmtId="4" fontId="5" fillId="6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14" fillId="0" borderId="0" xfId="0" applyFont="1"/>
    <xf numFmtId="4" fontId="14" fillId="0" borderId="0" xfId="0" applyNumberFormat="1" applyFont="1"/>
    <xf numFmtId="4" fontId="11" fillId="0" borderId="0" xfId="0" applyNumberFormat="1" applyFont="1" applyAlignment="1">
      <alignment horizontal="center" vertical="center" wrapText="1"/>
    </xf>
    <xf numFmtId="10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0" fontId="16" fillId="10" borderId="0" xfId="0" applyFont="1" applyFill="1" applyAlignment="1">
      <alignment horizontal="left"/>
    </xf>
    <xf numFmtId="4" fontId="5" fillId="0" borderId="0" xfId="0" applyNumberFormat="1" applyFont="1" applyAlignment="1">
      <alignment horizontal="center" vertical="center"/>
    </xf>
    <xf numFmtId="4" fontId="5" fillId="0" borderId="0" xfId="0" quotePrefix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161925</xdr:rowOff>
    </xdr:from>
    <xdr:to>
      <xdr:col>5</xdr:col>
      <xdr:colOff>552450</xdr:colOff>
      <xdr:row>88</xdr:row>
      <xdr:rowOff>76200</xdr:rowOff>
    </xdr:to>
    <xdr:sp macro="" textlink="">
      <xdr:nvSpPr>
        <xdr:cNvPr id="15" name="14 CuadroTexto"/>
        <xdr:cNvSpPr txBox="1"/>
      </xdr:nvSpPr>
      <xdr:spPr>
        <a:xfrm>
          <a:off x="0" y="13354050"/>
          <a:ext cx="5314950" cy="3914775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u="sng"/>
            <a:t>OTRAS OBSERVACIONES:</a:t>
          </a:r>
        </a:p>
        <a:p>
          <a:endParaRPr lang="es-ES" sz="1100"/>
        </a:p>
        <a:p>
          <a:r>
            <a:rPr lang="es-ES" sz="1100"/>
            <a:t>1) En expensas de abril, </a:t>
          </a:r>
          <a:r>
            <a:rPr lang="es-ES" sz="1100" baseline="0"/>
            <a:t>mayo ,junio y julio </a:t>
          </a:r>
          <a:r>
            <a:rPr lang="es-ES" sz="1100"/>
            <a:t>colocan detalle del motivo de GASTOS PAGADOS AL 30/04/20 $3939,82, 29/05/20 $ 8064,52, 30/06/20 $ 4892,52, 31/07/20 $ 3804,12, 31/08/20 $ 11548,92, 30/09/20 $ 7808,99 y al mismo tiempo figura en el cuadro CONCEPTO DE GASTOS, este  gasto lo </a:t>
          </a:r>
          <a:r>
            <a:rPr lang="es-ES" sz="1100" baseline="0"/>
            <a:t> estamos pagando dos  veces. </a:t>
          </a:r>
          <a:r>
            <a:rPr lang="es-ES" sz="1100" b="1" baseline="0"/>
            <a:t>(Total $ 40058,89)</a:t>
          </a:r>
          <a:br>
            <a:rPr lang="es-ES" sz="1100" b="1" baseline="0"/>
          </a:br>
          <a:r>
            <a:rPr lang="es-ES" sz="1100" baseline="0"/>
            <a:t>Sería interesante saber si los meses anteriores pasó lo mismo Febrero ($ 4290,86) y Marzo ($ 3300,57) </a:t>
          </a:r>
          <a:r>
            <a:rPr lang="es-ES" sz="1100" b="1" baseline="0"/>
            <a:t>= $ 7591,43 </a:t>
          </a:r>
          <a:r>
            <a:rPr lang="es-ES" sz="1100"/>
            <a:t/>
          </a:r>
          <a:br>
            <a:rPr lang="es-ES" sz="1100"/>
          </a:br>
          <a:r>
            <a:rPr lang="es-ES" sz="1100"/>
            <a:t/>
          </a:r>
          <a:br>
            <a:rPr lang="es-ES" sz="1100"/>
          </a:br>
          <a:r>
            <a:rPr lang="es-ES" sz="1100"/>
            <a:t>2)</a:t>
          </a:r>
          <a:r>
            <a:rPr lang="es-ES" sz="1100" baseline="0"/>
            <a:t> No figura en SALDO ANTERIOR (el que pasó la anterior Administracion) las cobranzas que hicieron a los departamentos 01-02 ($ 1354), 05-03 ($ 1170), 03-01 ($ 10310), 04-01 ($ 1355), 09-04 ($ 940), 03-04 ($ 2700), 08-01 ($ 6645) y 04-04 ($ 21488).</a:t>
          </a:r>
          <a:br>
            <a:rPr lang="es-ES" sz="1100" baseline="0"/>
          </a:br>
          <a:r>
            <a:rPr lang="es-ES" sz="1100" b="1" baseline="0"/>
            <a:t>Estas cobranzas representan $ 45962 y tampoco figura lo que se ha ido cobrando de los convenios de pago</a:t>
          </a:r>
        </a:p>
        <a:p>
          <a:endParaRPr lang="es-ES" sz="1100" b="1" baseline="0"/>
        </a:p>
        <a:p>
          <a:r>
            <a:rPr lang="es-ES" sz="1100" b="0" baseline="0"/>
            <a:t>3) Tampoco se conocen lo intereses que fueron cobrados a los deudores morosos</a:t>
          </a:r>
        </a:p>
        <a:p>
          <a:endParaRPr lang="es-ES" sz="1100" b="0" baseline="0"/>
        </a:p>
        <a:p>
          <a:pPr algn="ctr"/>
          <a:r>
            <a:rPr lang="es-ES" sz="1600" b="1" u="sng" baseline="0"/>
            <a:t>Sumando los tres totales indicados son $ 93612,32</a:t>
          </a:r>
        </a:p>
      </xdr:txBody>
    </xdr:sp>
    <xdr:clientData/>
  </xdr:twoCellAnchor>
  <xdr:twoCellAnchor>
    <xdr:from>
      <xdr:col>9</xdr:col>
      <xdr:colOff>657225</xdr:colOff>
      <xdr:row>26</xdr:row>
      <xdr:rowOff>85726</xdr:rowOff>
    </xdr:from>
    <xdr:to>
      <xdr:col>16</xdr:col>
      <xdr:colOff>180975</xdr:colOff>
      <xdr:row>38</xdr:row>
      <xdr:rowOff>1</xdr:rowOff>
    </xdr:to>
    <xdr:sp macro="" textlink="">
      <xdr:nvSpPr>
        <xdr:cNvPr id="2" name="1 CuadroTexto"/>
        <xdr:cNvSpPr txBox="1"/>
      </xdr:nvSpPr>
      <xdr:spPr>
        <a:xfrm>
          <a:off x="8467725" y="5286376"/>
          <a:ext cx="4857750" cy="22860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/>
            <a:t>MODO DE CALCULO:</a:t>
          </a:r>
        </a:p>
        <a:p>
          <a:endParaRPr lang="es-ES" sz="1100"/>
        </a:p>
        <a:p>
          <a:r>
            <a:rPr lang="es-ES" sz="1100" b="1"/>
            <a:t>DISPONIBILIDAD</a:t>
          </a:r>
          <a:r>
            <a:rPr lang="es-ES" sz="1100"/>
            <a:t> = SALDO ANTERIOR - DEUDORES - OTROS GASTOS</a:t>
          </a:r>
        </a:p>
        <a:p>
          <a:endParaRPr lang="es-ES" sz="1100"/>
        </a:p>
        <a:p>
          <a:r>
            <a:rPr lang="es-ES" sz="1100" b="1"/>
            <a:t>F.F</a:t>
          </a:r>
          <a:r>
            <a:rPr lang="es-ES" sz="1100"/>
            <a:t>. = SUMATORIA DE TODOS LOS VALORES DE F.F. QUE FIGURAN EN EL FRENTE DE EXPENSAS</a:t>
          </a:r>
        </a:p>
        <a:p>
          <a:endParaRPr lang="es-ES" sz="1100"/>
        </a:p>
        <a:p>
          <a:r>
            <a:rPr lang="es-ES" sz="1100" b="1"/>
            <a:t>SALDO</a:t>
          </a:r>
          <a:r>
            <a:rPr lang="es-ES" sz="1100" baseline="0"/>
            <a:t> = DISPONIBILIDAD + F.F.</a:t>
          </a:r>
          <a:br>
            <a:rPr lang="es-ES" sz="1100" baseline="0"/>
          </a:br>
          <a:r>
            <a:rPr lang="es-ES" sz="1100" baseline="0"/>
            <a:t/>
          </a:r>
          <a:br>
            <a:rPr lang="es-ES" sz="1100" baseline="0"/>
          </a:br>
          <a:r>
            <a:rPr lang="es-ES" sz="1100" b="1" baseline="0"/>
            <a:t>OTROS GASTOS</a:t>
          </a:r>
          <a:r>
            <a:rPr lang="es-ES" sz="1100" baseline="0"/>
            <a:t> = LO QUE FIGURA EN ESTADO DE CAJA COMO PAGADO AL ....</a:t>
          </a: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62"/>
  <sheetViews>
    <sheetView tabSelected="1" topLeftCell="A61" workbookViewId="0">
      <selection activeCell="C61" sqref="C61"/>
    </sheetView>
  </sheetViews>
  <sheetFormatPr baseColWidth="10" defaultRowHeight="15" x14ac:dyDescent="0.25"/>
  <cols>
    <col min="1" max="1" width="11.42578125" style="12"/>
    <col min="2" max="2" width="16.42578125" bestFit="1" customWidth="1"/>
    <col min="3" max="3" width="15.7109375" customWidth="1"/>
    <col min="4" max="4" width="16.42578125" bestFit="1" customWidth="1"/>
  </cols>
  <sheetData>
    <row r="1" spans="1:5" ht="18.75" x14ac:dyDescent="0.3">
      <c r="A1" s="23" t="s">
        <v>5</v>
      </c>
      <c r="B1" s="23"/>
      <c r="C1" s="23"/>
      <c r="D1" s="5"/>
      <c r="E1" s="5"/>
    </row>
    <row r="2" spans="1:5" x14ac:dyDescent="0.25">
      <c r="B2" t="s">
        <v>0</v>
      </c>
      <c r="C2" s="1">
        <v>27070.25</v>
      </c>
      <c r="E2" s="1"/>
    </row>
    <row r="3" spans="1:5" x14ac:dyDescent="0.25">
      <c r="B3" t="s">
        <v>1</v>
      </c>
      <c r="C3" s="1">
        <v>4290.8599999999997</v>
      </c>
      <c r="E3" s="1"/>
    </row>
    <row r="4" spans="1:5" x14ac:dyDescent="0.25">
      <c r="B4" t="s">
        <v>2</v>
      </c>
      <c r="C4" s="1">
        <v>22455.65</v>
      </c>
      <c r="E4" s="1"/>
    </row>
    <row r="5" spans="1:5" ht="15.75" x14ac:dyDescent="0.25">
      <c r="B5" t="s">
        <v>3</v>
      </c>
      <c r="C5" s="1">
        <v>46336</v>
      </c>
      <c r="D5" s="7" t="s">
        <v>4</v>
      </c>
      <c r="E5" s="1"/>
    </row>
    <row r="6" spans="1:5" ht="15.75" x14ac:dyDescent="0.25">
      <c r="A6" s="13"/>
      <c r="B6" s="11" t="s">
        <v>11</v>
      </c>
      <c r="C6" s="3">
        <v>19589.490000000002</v>
      </c>
      <c r="D6" s="8">
        <f>+C6</f>
        <v>19589.490000000002</v>
      </c>
      <c r="E6" s="4"/>
    </row>
    <row r="7" spans="1:5" x14ac:dyDescent="0.25">
      <c r="C7" s="1"/>
      <c r="E7" s="1"/>
    </row>
    <row r="8" spans="1:5" ht="18.75" x14ac:dyDescent="0.3">
      <c r="A8" s="23" t="s">
        <v>6</v>
      </c>
      <c r="B8" s="23"/>
      <c r="C8" s="23"/>
      <c r="D8" s="5"/>
      <c r="E8" s="5"/>
    </row>
    <row r="9" spans="1:5" x14ac:dyDescent="0.25">
      <c r="B9" t="s">
        <v>0</v>
      </c>
      <c r="C9" s="1">
        <f>60000-12303.14</f>
        <v>47696.86</v>
      </c>
      <c r="E9" s="1"/>
    </row>
    <row r="10" spans="1:5" x14ac:dyDescent="0.25">
      <c r="B10" t="s">
        <v>1</v>
      </c>
      <c r="C10" s="1">
        <v>3300.57</v>
      </c>
      <c r="E10" s="1"/>
    </row>
    <row r="11" spans="1:5" x14ac:dyDescent="0.25">
      <c r="B11" t="s">
        <v>2</v>
      </c>
      <c r="C11" s="1">
        <v>16994.7</v>
      </c>
      <c r="E11" s="1"/>
    </row>
    <row r="12" spans="1:5" x14ac:dyDescent="0.25">
      <c r="B12" t="s">
        <v>3</v>
      </c>
      <c r="C12" s="1">
        <v>46336</v>
      </c>
      <c r="E12" s="1"/>
    </row>
    <row r="13" spans="1:5" ht="15.75" x14ac:dyDescent="0.25">
      <c r="A13" s="13"/>
      <c r="B13" s="11" t="s">
        <v>12</v>
      </c>
      <c r="C13" s="3">
        <v>26040.73</v>
      </c>
      <c r="D13" s="9" t="s">
        <v>4</v>
      </c>
      <c r="E13" s="4"/>
    </row>
    <row r="14" spans="1:5" ht="15.75" x14ac:dyDescent="0.25">
      <c r="A14" s="14"/>
      <c r="B14" s="2" t="s">
        <v>9</v>
      </c>
      <c r="C14" s="6">
        <v>10000</v>
      </c>
      <c r="D14" s="10">
        <f>+C13+C14</f>
        <v>36040.729999999996</v>
      </c>
    </row>
    <row r="16" spans="1:5" ht="18.75" x14ac:dyDescent="0.3">
      <c r="A16" s="23" t="s">
        <v>7</v>
      </c>
      <c r="B16" s="23"/>
      <c r="C16" s="23"/>
      <c r="D16" s="5"/>
      <c r="E16" s="5"/>
    </row>
    <row r="17" spans="1:5" x14ac:dyDescent="0.25">
      <c r="B17" t="s">
        <v>0</v>
      </c>
      <c r="C17" s="1">
        <f>60000-15609.35</f>
        <v>44390.65</v>
      </c>
      <c r="E17" s="1"/>
    </row>
    <row r="18" spans="1:5" x14ac:dyDescent="0.25">
      <c r="B18" t="s">
        <v>1</v>
      </c>
      <c r="C18" s="1">
        <v>3939.82</v>
      </c>
      <c r="E18" s="1"/>
    </row>
    <row r="19" spans="1:5" x14ac:dyDescent="0.25">
      <c r="B19" t="s">
        <v>2</v>
      </c>
      <c r="C19" s="1">
        <v>33249.49</v>
      </c>
      <c r="E19" s="1"/>
    </row>
    <row r="20" spans="1:5" x14ac:dyDescent="0.25">
      <c r="B20" t="s">
        <v>3</v>
      </c>
      <c r="C20" s="1">
        <v>46336</v>
      </c>
      <c r="E20" s="1"/>
    </row>
    <row r="21" spans="1:5" ht="15.75" x14ac:dyDescent="0.25">
      <c r="A21" s="13"/>
      <c r="B21" s="11" t="s">
        <v>11</v>
      </c>
      <c r="C21" s="3">
        <v>9146.69</v>
      </c>
      <c r="D21" s="9" t="s">
        <v>4</v>
      </c>
      <c r="E21" s="4"/>
    </row>
    <row r="22" spans="1:5" ht="15.75" x14ac:dyDescent="0.25">
      <c r="A22" s="14"/>
      <c r="B22" s="2" t="s">
        <v>9</v>
      </c>
      <c r="C22" s="3">
        <v>22303.14</v>
      </c>
      <c r="D22" s="10">
        <f>+C22+C21</f>
        <v>31449.83</v>
      </c>
      <c r="E22" s="1"/>
    </row>
    <row r="24" spans="1:5" ht="18.75" x14ac:dyDescent="0.3">
      <c r="A24" s="23" t="s">
        <v>8</v>
      </c>
      <c r="B24" s="23"/>
      <c r="C24" s="23"/>
      <c r="D24" s="5"/>
      <c r="E24" s="5"/>
    </row>
    <row r="25" spans="1:5" x14ac:dyDescent="0.25">
      <c r="B25" t="s">
        <v>0</v>
      </c>
      <c r="C25" s="1">
        <f>60000-5958.81</f>
        <v>54041.19</v>
      </c>
      <c r="E25" s="1"/>
    </row>
    <row r="26" spans="1:5" x14ac:dyDescent="0.25">
      <c r="B26" t="s">
        <v>1</v>
      </c>
      <c r="C26" s="1">
        <v>8064.52</v>
      </c>
      <c r="E26" s="1"/>
    </row>
    <row r="27" spans="1:5" x14ac:dyDescent="0.25">
      <c r="B27" t="s">
        <v>2</v>
      </c>
      <c r="C27" s="1">
        <v>21909.91</v>
      </c>
      <c r="E27" s="1"/>
    </row>
    <row r="28" spans="1:5" x14ac:dyDescent="0.25">
      <c r="B28" t="s">
        <v>3</v>
      </c>
      <c r="C28" s="1">
        <v>46336</v>
      </c>
      <c r="E28" s="1"/>
    </row>
    <row r="29" spans="1:5" ht="15.75" x14ac:dyDescent="0.25">
      <c r="A29" s="14"/>
      <c r="B29" s="2" t="s">
        <v>11</v>
      </c>
      <c r="C29" s="3">
        <v>16361.57</v>
      </c>
      <c r="D29" s="9" t="s">
        <v>4</v>
      </c>
      <c r="E29" s="4"/>
    </row>
    <row r="30" spans="1:5" ht="15.75" x14ac:dyDescent="0.25">
      <c r="A30" s="14"/>
      <c r="B30" s="2" t="s">
        <v>9</v>
      </c>
      <c r="C30" s="3">
        <v>37912.49</v>
      </c>
      <c r="D30" s="10">
        <f>+C30+C29</f>
        <v>54274.06</v>
      </c>
    </row>
    <row r="32" spans="1:5" ht="18.75" x14ac:dyDescent="0.3">
      <c r="A32" s="23" t="s">
        <v>10</v>
      </c>
      <c r="B32" s="23"/>
      <c r="C32" s="23"/>
    </row>
    <row r="33" spans="1:5" x14ac:dyDescent="0.25">
      <c r="B33" t="s">
        <v>0</v>
      </c>
      <c r="C33" s="1">
        <v>49440.97</v>
      </c>
    </row>
    <row r="34" spans="1:5" x14ac:dyDescent="0.25">
      <c r="B34" t="s">
        <v>1</v>
      </c>
      <c r="C34" s="1">
        <v>4892.5200000000004</v>
      </c>
    </row>
    <row r="35" spans="1:5" x14ac:dyDescent="0.25">
      <c r="B35" t="s">
        <v>2</v>
      </c>
      <c r="C35" s="1">
        <v>21570.39</v>
      </c>
    </row>
    <row r="36" spans="1:5" x14ac:dyDescent="0.25">
      <c r="B36" t="s">
        <v>3</v>
      </c>
      <c r="C36" s="1">
        <v>46336</v>
      </c>
    </row>
    <row r="37" spans="1:5" ht="15.75" x14ac:dyDescent="0.25">
      <c r="B37" s="2" t="s">
        <v>11</v>
      </c>
      <c r="C37" s="3">
        <f>+C36-C34-C35</f>
        <v>19873.089999999997</v>
      </c>
      <c r="D37" s="7" t="s">
        <v>4</v>
      </c>
    </row>
    <row r="38" spans="1:5" ht="15.75" x14ac:dyDescent="0.25">
      <c r="B38" s="2" t="s">
        <v>9</v>
      </c>
      <c r="C38" s="3">
        <v>43871.3</v>
      </c>
      <c r="D38" s="10">
        <f>+C37+C38</f>
        <v>63744.39</v>
      </c>
      <c r="E38" s="1"/>
    </row>
    <row r="40" spans="1:5" ht="18.75" x14ac:dyDescent="0.3">
      <c r="A40" s="22" t="s">
        <v>13</v>
      </c>
      <c r="B40" s="22"/>
      <c r="C40" s="22"/>
    </row>
    <row r="41" spans="1:5" x14ac:dyDescent="0.25">
      <c r="B41" t="s">
        <v>0</v>
      </c>
      <c r="C41" s="17">
        <v>45868.57</v>
      </c>
    </row>
    <row r="42" spans="1:5" x14ac:dyDescent="0.25">
      <c r="B42" t="s">
        <v>1</v>
      </c>
      <c r="C42" s="17">
        <v>3804.12</v>
      </c>
    </row>
    <row r="43" spans="1:5" x14ac:dyDescent="0.25">
      <c r="B43" t="s">
        <v>2</v>
      </c>
      <c r="C43" s="17">
        <v>20222.259999999998</v>
      </c>
    </row>
    <row r="44" spans="1:5" x14ac:dyDescent="0.25">
      <c r="B44" t="s">
        <v>3</v>
      </c>
      <c r="C44" s="17">
        <v>46336</v>
      </c>
    </row>
    <row r="45" spans="1:5" x14ac:dyDescent="0.25">
      <c r="B45" s="2" t="s">
        <v>11</v>
      </c>
      <c r="C45" s="18">
        <f>+C44-C42-C43</f>
        <v>22309.62</v>
      </c>
      <c r="D45" s="15" t="s">
        <v>4</v>
      </c>
    </row>
    <row r="46" spans="1:5" x14ac:dyDescent="0.25">
      <c r="B46" s="2" t="s">
        <v>9</v>
      </c>
      <c r="C46" s="18">
        <v>54430.33</v>
      </c>
      <c r="D46" s="16">
        <f>+C45+C46</f>
        <v>76739.95</v>
      </c>
    </row>
    <row r="48" spans="1:5" ht="18.75" x14ac:dyDescent="0.3">
      <c r="A48" s="22" t="s">
        <v>14</v>
      </c>
      <c r="B48" s="22"/>
      <c r="C48" s="22"/>
    </row>
    <row r="49" spans="1:4" x14ac:dyDescent="0.25">
      <c r="B49" t="s">
        <v>0</v>
      </c>
      <c r="C49" s="20">
        <v>66083.37</v>
      </c>
    </row>
    <row r="50" spans="1:4" x14ac:dyDescent="0.25">
      <c r="B50" t="s">
        <v>1</v>
      </c>
      <c r="C50" s="20">
        <v>11548.92</v>
      </c>
    </row>
    <row r="51" spans="1:4" x14ac:dyDescent="0.25">
      <c r="B51" t="s">
        <v>2</v>
      </c>
      <c r="C51" s="20">
        <v>9546</v>
      </c>
    </row>
    <row r="52" spans="1:4" x14ac:dyDescent="0.25">
      <c r="B52" t="s">
        <v>3</v>
      </c>
      <c r="C52" s="20">
        <v>46336</v>
      </c>
    </row>
    <row r="53" spans="1:4" x14ac:dyDescent="0.25">
      <c r="B53" s="2" t="s">
        <v>11</v>
      </c>
      <c r="C53" s="21">
        <f>C52-C51-C50</f>
        <v>25241.08</v>
      </c>
      <c r="D53" s="15" t="s">
        <v>4</v>
      </c>
    </row>
    <row r="54" spans="1:4" x14ac:dyDescent="0.25">
      <c r="B54" s="2" t="s">
        <v>9</v>
      </c>
      <c r="C54" s="21">
        <v>68561.759999999995</v>
      </c>
      <c r="D54" s="19">
        <f>+C53+C54</f>
        <v>93802.84</v>
      </c>
    </row>
    <row r="56" spans="1:4" ht="18.75" x14ac:dyDescent="0.3">
      <c r="A56" s="22" t="s">
        <v>50</v>
      </c>
      <c r="B56" s="22"/>
      <c r="C56" s="22"/>
    </row>
    <row r="57" spans="1:4" x14ac:dyDescent="0.25">
      <c r="B57" t="s">
        <v>0</v>
      </c>
      <c r="C57" s="20">
        <v>54813.99</v>
      </c>
    </row>
    <row r="58" spans="1:4" x14ac:dyDescent="0.25">
      <c r="B58" t="s">
        <v>1</v>
      </c>
      <c r="C58" s="20">
        <v>7809.99</v>
      </c>
    </row>
    <row r="59" spans="1:4" x14ac:dyDescent="0.25">
      <c r="B59" t="s">
        <v>2</v>
      </c>
      <c r="C59" s="20">
        <v>15749.42</v>
      </c>
    </row>
    <row r="60" spans="1:4" x14ac:dyDescent="0.25">
      <c r="B60" t="s">
        <v>3</v>
      </c>
      <c r="C60" s="20">
        <v>46336</v>
      </c>
    </row>
    <row r="61" spans="1:4" x14ac:dyDescent="0.25">
      <c r="B61" s="2" t="s">
        <v>11</v>
      </c>
      <c r="C61" s="21">
        <f>C60-C59-C58</f>
        <v>22776.590000000004</v>
      </c>
      <c r="D61" s="15" t="s">
        <v>4</v>
      </c>
    </row>
    <row r="62" spans="1:4" x14ac:dyDescent="0.25">
      <c r="B62" s="2" t="s">
        <v>9</v>
      </c>
      <c r="C62" s="21">
        <v>68561.759999999995</v>
      </c>
      <c r="D62" s="19">
        <f>+C61+C62</f>
        <v>91338.35</v>
      </c>
    </row>
  </sheetData>
  <mergeCells count="8">
    <mergeCell ref="A56:C56"/>
    <mergeCell ref="A48:C48"/>
    <mergeCell ref="A40:C40"/>
    <mergeCell ref="A32:C32"/>
    <mergeCell ref="A1:C1"/>
    <mergeCell ref="A24:C24"/>
    <mergeCell ref="A16:C16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M34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5" x14ac:dyDescent="0.25"/>
  <cols>
    <col min="1" max="1" width="33.28515625" customWidth="1"/>
    <col min="2" max="2" width="12.28515625" style="24" bestFit="1" customWidth="1"/>
    <col min="3" max="8" width="11.42578125" style="24"/>
    <col min="9" max="9" width="12" style="24" bestFit="1" customWidth="1"/>
    <col min="10" max="13" width="11.42578125" style="24"/>
  </cols>
  <sheetData>
    <row r="1" spans="1:13" x14ac:dyDescent="0.25">
      <c r="A1" s="31" t="s">
        <v>52</v>
      </c>
      <c r="B1" s="32" t="s">
        <v>51</v>
      </c>
      <c r="C1" s="32" t="s">
        <v>5</v>
      </c>
      <c r="D1" s="32" t="s">
        <v>6</v>
      </c>
      <c r="E1" s="32" t="s">
        <v>7</v>
      </c>
      <c r="F1" s="32" t="s">
        <v>8</v>
      </c>
      <c r="G1" s="32" t="s">
        <v>10</v>
      </c>
      <c r="H1" s="32" t="s">
        <v>13</v>
      </c>
      <c r="I1" s="32" t="s">
        <v>14</v>
      </c>
      <c r="J1" s="32" t="s">
        <v>50</v>
      </c>
    </row>
    <row r="2" spans="1:13" x14ac:dyDescent="0.25">
      <c r="A2" s="31"/>
      <c r="B2" s="24" t="s">
        <v>49</v>
      </c>
      <c r="C2" s="24" t="s">
        <v>48</v>
      </c>
      <c r="D2" s="24" t="s">
        <v>47</v>
      </c>
      <c r="E2" s="24" t="s">
        <v>46</v>
      </c>
      <c r="F2" s="24" t="s">
        <v>45</v>
      </c>
      <c r="G2" s="24" t="s">
        <v>44</v>
      </c>
      <c r="H2" s="24" t="s">
        <v>43</v>
      </c>
      <c r="I2" s="24" t="s">
        <v>42</v>
      </c>
    </row>
    <row r="3" spans="1:13" ht="18.75" x14ac:dyDescent="0.3">
      <c r="A3" s="30" t="s">
        <v>41</v>
      </c>
      <c r="B3" s="29">
        <f>SUM(B6:B44)</f>
        <v>59281.039999999994</v>
      </c>
      <c r="C3" s="29">
        <f>SUM(C6:C44)</f>
        <v>27070.25</v>
      </c>
      <c r="D3" s="29">
        <f>SUM(D7:D44)</f>
        <v>47696.86</v>
      </c>
      <c r="E3" s="29">
        <f>SUM(E6:E44)</f>
        <v>44390.65</v>
      </c>
      <c r="F3" s="29">
        <f>SUM(F6:F44)</f>
        <v>54041.19</v>
      </c>
      <c r="G3" s="29">
        <f>SUM(G6:G44)</f>
        <v>49440.97</v>
      </c>
      <c r="H3" s="29">
        <f>SUM(H6:H44)</f>
        <v>45868.57</v>
      </c>
      <c r="I3" s="29">
        <f>SUM(I6:I44)</f>
        <v>66083.37</v>
      </c>
      <c r="J3" s="29">
        <f>SUM(J6:J44)</f>
        <v>0</v>
      </c>
    </row>
    <row r="4" spans="1:13" x14ac:dyDescent="0.25">
      <c r="A4" s="28" t="s">
        <v>40</v>
      </c>
      <c r="B4" s="27"/>
      <c r="C4" s="27">
        <v>10000</v>
      </c>
      <c r="D4" s="27">
        <f>60000-D3</f>
        <v>12303.14</v>
      </c>
      <c r="E4" s="27">
        <f>60000-E3</f>
        <v>15609.349999999999</v>
      </c>
      <c r="F4" s="27">
        <f>60000-F3</f>
        <v>5958.8099999999977</v>
      </c>
      <c r="G4" s="27">
        <f>60000-G3</f>
        <v>10559.029999999999</v>
      </c>
      <c r="H4" s="27">
        <f>60000-H3</f>
        <v>14131.43</v>
      </c>
      <c r="I4" s="27">
        <f>60000-I3</f>
        <v>-6083.3699999999953</v>
      </c>
      <c r="J4" s="27">
        <f>60000-J3</f>
        <v>60000</v>
      </c>
      <c r="K4" s="27"/>
    </row>
    <row r="5" spans="1:13" s="12" customFormat="1" x14ac:dyDescent="0.2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25">
      <c r="A6" s="26" t="s">
        <v>39</v>
      </c>
    </row>
    <row r="7" spans="1:13" x14ac:dyDescent="0.25">
      <c r="A7" t="s">
        <v>38</v>
      </c>
      <c r="B7" s="24">
        <v>7000</v>
      </c>
      <c r="C7" s="24">
        <v>7000</v>
      </c>
      <c r="D7" s="24">
        <v>7000</v>
      </c>
      <c r="E7" s="24">
        <v>7000</v>
      </c>
      <c r="F7" s="24">
        <v>3966.67</v>
      </c>
    </row>
    <row r="8" spans="1:13" x14ac:dyDescent="0.25">
      <c r="A8" t="s">
        <v>37</v>
      </c>
      <c r="F8" s="24">
        <v>9750</v>
      </c>
      <c r="G8" s="24">
        <v>19500</v>
      </c>
      <c r="H8" s="24">
        <v>19500</v>
      </c>
      <c r="I8" s="24">
        <v>19500</v>
      </c>
    </row>
    <row r="9" spans="1:13" x14ac:dyDescent="0.25">
      <c r="A9" t="s">
        <v>36</v>
      </c>
      <c r="B9" s="24">
        <v>7440</v>
      </c>
      <c r="C9" s="24">
        <v>7440</v>
      </c>
      <c r="D9" s="24">
        <v>7440</v>
      </c>
      <c r="E9" s="24">
        <v>7440</v>
      </c>
      <c r="F9" s="24">
        <f>8950+1510</f>
        <v>10460</v>
      </c>
      <c r="G9" s="24">
        <v>8950</v>
      </c>
      <c r="H9" s="24">
        <v>8950</v>
      </c>
      <c r="I9" s="24">
        <v>8950</v>
      </c>
    </row>
    <row r="10" spans="1:13" x14ac:dyDescent="0.25">
      <c r="A10" t="s">
        <v>35</v>
      </c>
      <c r="B10" s="24">
        <f>1740+1740</f>
        <v>3480</v>
      </c>
      <c r="C10" s="24">
        <v>1740</v>
      </c>
      <c r="D10" s="25">
        <v>1740</v>
      </c>
      <c r="E10" s="25">
        <v>1740</v>
      </c>
      <c r="F10" s="24">
        <v>1740</v>
      </c>
      <c r="G10" s="24">
        <v>1740</v>
      </c>
      <c r="H10" s="24">
        <v>1740</v>
      </c>
      <c r="I10" s="24">
        <v>1740</v>
      </c>
    </row>
    <row r="11" spans="1:13" x14ac:dyDescent="0.25">
      <c r="A11" t="s">
        <v>34</v>
      </c>
      <c r="B11" s="24">
        <v>358</v>
      </c>
      <c r="C11" s="24">
        <v>358</v>
      </c>
      <c r="D11" s="25">
        <v>358</v>
      </c>
      <c r="E11" s="25">
        <v>358</v>
      </c>
      <c r="F11" s="24">
        <v>358</v>
      </c>
      <c r="G11" s="24">
        <v>358</v>
      </c>
      <c r="H11" s="24">
        <v>358</v>
      </c>
    </row>
    <row r="12" spans="1:13" x14ac:dyDescent="0.25">
      <c r="A12" t="s">
        <v>33</v>
      </c>
      <c r="C12" s="24">
        <v>3072.86</v>
      </c>
      <c r="D12" s="25">
        <v>1731.39</v>
      </c>
      <c r="E12" s="25">
        <v>1841.82</v>
      </c>
      <c r="F12" s="24">
        <v>1894.59</v>
      </c>
      <c r="G12" s="24">
        <v>2034.52</v>
      </c>
      <c r="H12" s="24">
        <v>1706.12</v>
      </c>
      <c r="I12" s="24">
        <v>1676.88</v>
      </c>
    </row>
    <row r="13" spans="1:13" x14ac:dyDescent="0.25">
      <c r="A13" t="s">
        <v>32</v>
      </c>
      <c r="B13" s="24">
        <v>4457.74</v>
      </c>
      <c r="C13" s="24">
        <v>3741.39</v>
      </c>
      <c r="D13" s="24">
        <v>3766.29</v>
      </c>
      <c r="E13" s="24">
        <v>3810.83</v>
      </c>
      <c r="F13" s="24">
        <v>4071.93</v>
      </c>
      <c r="G13" s="24">
        <v>2214.4499999999998</v>
      </c>
      <c r="H13" s="24">
        <v>2214.4499999999998</v>
      </c>
      <c r="I13" s="24">
        <v>2214.4499999999998</v>
      </c>
    </row>
    <row r="14" spans="1:13" x14ac:dyDescent="0.25">
      <c r="A14" t="s">
        <v>31</v>
      </c>
      <c r="D14" s="24">
        <f>1300+1300</f>
        <v>2600</v>
      </c>
      <c r="E14" s="24">
        <v>1300</v>
      </c>
      <c r="F14" s="24">
        <v>1300</v>
      </c>
      <c r="G14" s="24">
        <v>1300</v>
      </c>
      <c r="H14" s="24">
        <v>1300</v>
      </c>
      <c r="I14" s="24">
        <v>1300</v>
      </c>
    </row>
    <row r="15" spans="1:13" x14ac:dyDescent="0.25">
      <c r="A15" t="s">
        <v>30</v>
      </c>
      <c r="D15" s="24">
        <f>9500+9500</f>
        <v>19000</v>
      </c>
      <c r="E15" s="24">
        <v>9500</v>
      </c>
      <c r="F15" s="24">
        <v>9500</v>
      </c>
      <c r="G15" s="24">
        <v>9500</v>
      </c>
      <c r="H15" s="24">
        <v>9500</v>
      </c>
      <c r="I15" s="24">
        <v>9500</v>
      </c>
    </row>
    <row r="16" spans="1:13" x14ac:dyDescent="0.25">
      <c r="A16" t="s">
        <v>29</v>
      </c>
      <c r="I16" s="24">
        <f>2653.43+2252.61</f>
        <v>4906.04</v>
      </c>
    </row>
    <row r="20" spans="1:9" x14ac:dyDescent="0.25">
      <c r="A20" s="26" t="s">
        <v>28</v>
      </c>
    </row>
    <row r="21" spans="1:9" x14ac:dyDescent="0.25">
      <c r="A21" t="s">
        <v>27</v>
      </c>
      <c r="B21" s="24">
        <v>2500</v>
      </c>
      <c r="C21" s="24">
        <v>2500</v>
      </c>
      <c r="D21" s="24">
        <v>2500</v>
      </c>
      <c r="E21" s="24">
        <v>2500</v>
      </c>
      <c r="F21" s="24">
        <v>2500</v>
      </c>
    </row>
    <row r="22" spans="1:9" x14ac:dyDescent="0.25">
      <c r="A22" t="s">
        <v>26</v>
      </c>
      <c r="B22" s="24">
        <v>3993</v>
      </c>
    </row>
    <row r="23" spans="1:9" x14ac:dyDescent="0.25">
      <c r="A23" t="s">
        <v>26</v>
      </c>
      <c r="B23" s="24">
        <v>24962.3</v>
      </c>
    </row>
    <row r="24" spans="1:9" x14ac:dyDescent="0.25">
      <c r="A24" t="s">
        <v>25</v>
      </c>
      <c r="B24" s="24">
        <v>4000</v>
      </c>
    </row>
    <row r="25" spans="1:9" x14ac:dyDescent="0.25">
      <c r="A25" t="s">
        <v>24</v>
      </c>
      <c r="B25" s="24">
        <v>360</v>
      </c>
      <c r="C25" s="24">
        <v>840</v>
      </c>
    </row>
    <row r="26" spans="1:9" x14ac:dyDescent="0.25">
      <c r="A26" t="s">
        <v>23</v>
      </c>
      <c r="B26" s="24">
        <v>730</v>
      </c>
      <c r="C26" s="24">
        <v>378</v>
      </c>
      <c r="D26" s="25">
        <v>320</v>
      </c>
      <c r="I26" s="24">
        <v>466</v>
      </c>
    </row>
    <row r="27" spans="1:9" x14ac:dyDescent="0.25">
      <c r="A27" t="s">
        <v>22</v>
      </c>
      <c r="D27" s="25">
        <v>441.18</v>
      </c>
    </row>
    <row r="28" spans="1:9" x14ac:dyDescent="0.25">
      <c r="A28" t="s">
        <v>21</v>
      </c>
      <c r="D28" s="25">
        <v>450</v>
      </c>
      <c r="G28" s="24">
        <v>2644</v>
      </c>
    </row>
    <row r="29" spans="1:9" x14ac:dyDescent="0.25">
      <c r="A29" t="s">
        <v>20</v>
      </c>
      <c r="D29" s="24">
        <v>350</v>
      </c>
    </row>
    <row r="30" spans="1:9" x14ac:dyDescent="0.25">
      <c r="A30" t="s">
        <v>19</v>
      </c>
      <c r="E30" s="24">
        <v>8900</v>
      </c>
    </row>
    <row r="31" spans="1:9" x14ac:dyDescent="0.25">
      <c r="A31" t="s">
        <v>18</v>
      </c>
      <c r="F31" s="24">
        <v>8500</v>
      </c>
      <c r="I31" s="24">
        <v>4500</v>
      </c>
    </row>
    <row r="32" spans="1:9" x14ac:dyDescent="0.25">
      <c r="A32" t="s">
        <v>17</v>
      </c>
      <c r="G32" s="24">
        <v>1200</v>
      </c>
      <c r="H32" s="24">
        <v>600</v>
      </c>
    </row>
    <row r="33" spans="1:9" x14ac:dyDescent="0.25">
      <c r="A33" t="s">
        <v>16</v>
      </c>
      <c r="I33" s="24">
        <v>6050</v>
      </c>
    </row>
    <row r="34" spans="1:9" x14ac:dyDescent="0.25">
      <c r="A34" t="s">
        <v>15</v>
      </c>
      <c r="I34" s="24">
        <v>5280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P60"/>
  <sheetViews>
    <sheetView workbookViewId="0">
      <pane ySplit="1" topLeftCell="A42" activePane="bottomLeft" state="frozen"/>
      <selection pane="bottomLeft" activeCell="A58" sqref="A58"/>
    </sheetView>
  </sheetViews>
  <sheetFormatPr baseColWidth="10" defaultRowHeight="15" x14ac:dyDescent="0.25"/>
  <cols>
    <col min="1" max="1" width="12.7109375" style="34" customWidth="1"/>
    <col min="2" max="2" width="43.7109375" customWidth="1"/>
    <col min="3" max="3" width="20.28515625" style="33" customWidth="1"/>
    <col min="4" max="5" width="16.85546875" style="33" customWidth="1"/>
    <col min="6" max="6" width="15" style="33" customWidth="1"/>
    <col min="7" max="7" width="7.42578125" style="33" customWidth="1"/>
    <col min="8" max="8" width="16.85546875" style="33" customWidth="1"/>
    <col min="9" max="9" width="15" style="33" customWidth="1"/>
  </cols>
  <sheetData>
    <row r="1" spans="1:16" ht="18" customHeight="1" x14ac:dyDescent="0.25">
      <c r="A1" s="55" t="s">
        <v>101</v>
      </c>
      <c r="B1" s="54" t="s">
        <v>100</v>
      </c>
      <c r="C1" s="52" t="s">
        <v>99</v>
      </c>
      <c r="D1" s="52" t="s">
        <v>98</v>
      </c>
      <c r="E1" s="52" t="s">
        <v>2</v>
      </c>
      <c r="F1" s="52" t="s">
        <v>97</v>
      </c>
      <c r="G1" s="53"/>
      <c r="H1" s="35">
        <f>SUM(H3:H60)</f>
        <v>68561.759999999995</v>
      </c>
      <c r="I1" s="52" t="s">
        <v>96</v>
      </c>
      <c r="J1" s="32"/>
      <c r="K1" s="32"/>
      <c r="L1" s="32"/>
      <c r="M1" s="32"/>
      <c r="N1" s="24"/>
      <c r="O1" s="24"/>
      <c r="P1" s="24"/>
    </row>
    <row r="3" spans="1:16" x14ac:dyDescent="0.25">
      <c r="A3" s="34">
        <v>43895</v>
      </c>
      <c r="B3" t="s">
        <v>95</v>
      </c>
      <c r="C3" s="33">
        <v>41127</v>
      </c>
      <c r="F3" s="33">
        <f>+F2+C3-D3</f>
        <v>41127</v>
      </c>
    </row>
    <row r="4" spans="1:16" x14ac:dyDescent="0.25">
      <c r="B4" s="51" t="s">
        <v>94</v>
      </c>
      <c r="C4" s="50">
        <v>940</v>
      </c>
      <c r="F4" s="33">
        <f>+F3+C4-D4</f>
        <v>42067</v>
      </c>
    </row>
    <row r="5" spans="1:16" x14ac:dyDescent="0.25">
      <c r="B5" s="51" t="s">
        <v>93</v>
      </c>
      <c r="C5" s="50">
        <v>1355</v>
      </c>
      <c r="F5" s="33">
        <f>+F4+C5-D5</f>
        <v>43422</v>
      </c>
    </row>
    <row r="6" spans="1:16" x14ac:dyDescent="0.25">
      <c r="B6" s="51" t="s">
        <v>92</v>
      </c>
      <c r="C6" s="50">
        <v>1974</v>
      </c>
      <c r="F6" s="33">
        <f>+F5+C6-D6</f>
        <v>45396</v>
      </c>
    </row>
    <row r="7" spans="1:16" x14ac:dyDescent="0.25">
      <c r="B7" s="51" t="s">
        <v>91</v>
      </c>
      <c r="C7" s="50">
        <v>940</v>
      </c>
      <c r="F7" s="33">
        <f>+F6+C7-D7</f>
        <v>46336</v>
      </c>
    </row>
    <row r="8" spans="1:16" x14ac:dyDescent="0.25">
      <c r="B8" t="s">
        <v>90</v>
      </c>
      <c r="D8" s="33">
        <v>59281.04</v>
      </c>
      <c r="F8" s="33">
        <f>+F7+C8-D8</f>
        <v>-12945.04</v>
      </c>
    </row>
    <row r="9" spans="1:16" x14ac:dyDescent="0.25">
      <c r="B9" t="s">
        <v>89</v>
      </c>
      <c r="D9" s="33">
        <v>27070.25</v>
      </c>
      <c r="F9" s="33">
        <f>+F8+C9-D9</f>
        <v>-40015.29</v>
      </c>
    </row>
    <row r="10" spans="1:16" x14ac:dyDescent="0.25">
      <c r="B10" t="s">
        <v>88</v>
      </c>
      <c r="D10" s="33">
        <f>+H10</f>
        <v>10000</v>
      </c>
      <c r="E10" s="35"/>
      <c r="F10" s="33">
        <f>+F9+C10-D10</f>
        <v>-50015.29</v>
      </c>
      <c r="H10" s="35">
        <v>10000</v>
      </c>
    </row>
    <row r="11" spans="1:16" x14ac:dyDescent="0.25">
      <c r="B11" t="s">
        <v>87</v>
      </c>
      <c r="C11" s="33">
        <f>+DEUDORES!E4</f>
        <v>36825.382047999992</v>
      </c>
      <c r="F11" s="33">
        <f>+F10+C11-D11</f>
        <v>-13189.907952000009</v>
      </c>
    </row>
    <row r="12" spans="1:16" x14ac:dyDescent="0.25">
      <c r="B12" t="s">
        <v>86</v>
      </c>
      <c r="C12" s="33">
        <f>+DEUDORES!G4</f>
        <v>26620.146525000007</v>
      </c>
      <c r="F12" s="33">
        <f>+F11+C12-D12</f>
        <v>13430.238572999999</v>
      </c>
    </row>
    <row r="13" spans="1:16" x14ac:dyDescent="0.25">
      <c r="B13" t="s">
        <v>57</v>
      </c>
      <c r="C13" s="49">
        <f>+DEUDORES!H3</f>
        <v>15911.031136000001</v>
      </c>
      <c r="F13" s="33">
        <f>+F12+C13-D13</f>
        <v>29341.269709</v>
      </c>
    </row>
    <row r="14" spans="1:16" x14ac:dyDescent="0.25">
      <c r="B14" s="43" t="s">
        <v>85</v>
      </c>
      <c r="C14" s="48">
        <f>+DEUDORES!D11</f>
        <v>1354</v>
      </c>
      <c r="F14" s="33">
        <f>+F13+C14-D14</f>
        <v>30695.269709</v>
      </c>
    </row>
    <row r="15" spans="1:16" x14ac:dyDescent="0.25">
      <c r="B15" s="43" t="s">
        <v>84</v>
      </c>
      <c r="C15" s="48">
        <f>+DEUDORES!D18</f>
        <v>10310</v>
      </c>
      <c r="F15" s="33">
        <f>+F14+C15-D15</f>
        <v>41005.269709</v>
      </c>
    </row>
    <row r="16" spans="1:16" x14ac:dyDescent="0.25">
      <c r="B16" s="43" t="s">
        <v>83</v>
      </c>
      <c r="C16" s="48">
        <f>+DEUDORES!D28</f>
        <v>1170</v>
      </c>
      <c r="F16" s="33">
        <f>+F15+C16-D16</f>
        <v>42175.269709</v>
      </c>
    </row>
    <row r="17" spans="1:9" x14ac:dyDescent="0.25">
      <c r="A17" s="34">
        <v>43921</v>
      </c>
      <c r="B17" s="41" t="s">
        <v>82</v>
      </c>
      <c r="C17" s="40"/>
      <c r="D17" s="47"/>
      <c r="E17" s="40">
        <f>+DEUDORES!H4</f>
        <v>16994.730291</v>
      </c>
      <c r="F17" s="33">
        <f>+F16+C17-D17</f>
        <v>42175.269709</v>
      </c>
    </row>
    <row r="18" spans="1:9" x14ac:dyDescent="0.25">
      <c r="F18" s="33">
        <f>+F17+C18-D18</f>
        <v>42175.269709</v>
      </c>
    </row>
    <row r="19" spans="1:9" x14ac:dyDescent="0.25">
      <c r="B19" t="s">
        <v>81</v>
      </c>
      <c r="D19" s="33">
        <v>47696.86</v>
      </c>
      <c r="F19" s="33">
        <f>+F18+C19-D19</f>
        <v>-5521.5902910000004</v>
      </c>
    </row>
    <row r="20" spans="1:9" x14ac:dyDescent="0.25">
      <c r="B20" t="s">
        <v>80</v>
      </c>
      <c r="D20" s="33">
        <v>12303.14</v>
      </c>
      <c r="E20" s="35"/>
      <c r="F20" s="33">
        <f>+F19+C20-D20</f>
        <v>-17824.730291</v>
      </c>
      <c r="H20" s="35">
        <v>12303.14</v>
      </c>
    </row>
    <row r="21" spans="1:9" x14ac:dyDescent="0.25">
      <c r="B21" t="s">
        <v>79</v>
      </c>
      <c r="C21" s="33">
        <f>+DEUDORES!I4</f>
        <v>39990</v>
      </c>
      <c r="F21" s="33">
        <f>+F20+C21-D21</f>
        <v>22165.269709</v>
      </c>
    </row>
    <row r="22" spans="1:9" x14ac:dyDescent="0.25">
      <c r="B22" t="s">
        <v>57</v>
      </c>
      <c r="C22" s="46">
        <f>+DEUDORES!J3</f>
        <v>4919.2221749999999</v>
      </c>
      <c r="F22" s="33">
        <f>+F21+C22-D22</f>
        <v>27084.491883999999</v>
      </c>
    </row>
    <row r="23" spans="1:9" x14ac:dyDescent="0.25">
      <c r="A23" s="34">
        <v>43951</v>
      </c>
      <c r="B23" s="41" t="s">
        <v>78</v>
      </c>
      <c r="C23" s="40"/>
      <c r="E23" s="40">
        <f>+DEUDORES!J4</f>
        <v>33249.498116000002</v>
      </c>
      <c r="F23" s="33">
        <f>+F22+C23-D23</f>
        <v>27084.491883999999</v>
      </c>
    </row>
    <row r="24" spans="1:9" s="12" customFormat="1" x14ac:dyDescent="0.25">
      <c r="A24" s="39"/>
      <c r="B24" s="38"/>
      <c r="C24" s="37"/>
      <c r="D24" s="36"/>
      <c r="E24" s="37"/>
      <c r="F24" s="33">
        <f>+F23+C24-D24</f>
        <v>27084.491883999999</v>
      </c>
      <c r="G24" s="36"/>
      <c r="H24" s="36"/>
      <c r="I24" s="33"/>
    </row>
    <row r="25" spans="1:9" x14ac:dyDescent="0.25">
      <c r="B25" t="s">
        <v>77</v>
      </c>
      <c r="D25" s="33">
        <v>44390.65</v>
      </c>
      <c r="F25" s="33">
        <f>+F24+C25-D25</f>
        <v>-17306.158116000002</v>
      </c>
    </row>
    <row r="26" spans="1:9" x14ac:dyDescent="0.25">
      <c r="B26" t="s">
        <v>76</v>
      </c>
      <c r="D26" s="35">
        <v>15609.35</v>
      </c>
      <c r="F26" s="33">
        <f>+F25+C26-D26</f>
        <v>-32915.508116000005</v>
      </c>
      <c r="H26" s="35">
        <v>15609.35</v>
      </c>
    </row>
    <row r="27" spans="1:9" x14ac:dyDescent="0.25">
      <c r="B27" t="s">
        <v>75</v>
      </c>
      <c r="C27" s="33">
        <f>+DEUDORES!K4</f>
        <v>52854</v>
      </c>
      <c r="F27" s="33">
        <f>+F26+C27-D27</f>
        <v>19938.491883999995</v>
      </c>
    </row>
    <row r="28" spans="1:9" x14ac:dyDescent="0.25">
      <c r="B28" t="s">
        <v>57</v>
      </c>
      <c r="C28" s="45">
        <f>+DEUDORES!L3</f>
        <v>18485.582902000002</v>
      </c>
      <c r="F28" s="33">
        <f>+F27+C28-D28</f>
        <v>38424.074785999997</v>
      </c>
    </row>
    <row r="29" spans="1:9" x14ac:dyDescent="0.25">
      <c r="B29" s="43" t="s">
        <v>74</v>
      </c>
      <c r="C29" s="45">
        <v>1355</v>
      </c>
      <c r="F29" s="33">
        <f>+F28+C29-D29</f>
        <v>39779.074785999997</v>
      </c>
    </row>
    <row r="30" spans="1:9" x14ac:dyDescent="0.25">
      <c r="B30" s="43" t="s">
        <v>73</v>
      </c>
      <c r="C30" s="45">
        <v>940</v>
      </c>
      <c r="F30" s="33">
        <f>+F29+C30-D30</f>
        <v>40719.074785999997</v>
      </c>
    </row>
    <row r="31" spans="1:9" x14ac:dyDescent="0.25">
      <c r="B31" s="43" t="s">
        <v>72</v>
      </c>
      <c r="C31" s="45">
        <v>2700</v>
      </c>
      <c r="F31" s="33">
        <f>+F30+C31-D31</f>
        <v>43419.074785999997</v>
      </c>
    </row>
    <row r="32" spans="1:9" x14ac:dyDescent="0.25">
      <c r="A32" s="34">
        <v>43982</v>
      </c>
      <c r="B32" s="41" t="s">
        <v>71</v>
      </c>
      <c r="C32" s="40"/>
      <c r="E32" s="40">
        <f>+DEUDORES!L4</f>
        <v>21909.915214000001</v>
      </c>
      <c r="F32" s="33">
        <f>+F31+C32-D32</f>
        <v>43419.074785999997</v>
      </c>
    </row>
    <row r="33" spans="1:8" x14ac:dyDescent="0.25">
      <c r="F33" s="33">
        <f>+F32+C33-D33</f>
        <v>43419.074785999997</v>
      </c>
    </row>
    <row r="34" spans="1:8" x14ac:dyDescent="0.25">
      <c r="B34" t="s">
        <v>70</v>
      </c>
      <c r="D34" s="33">
        <v>54041.19</v>
      </c>
      <c r="F34" s="33">
        <f>+F33+C34-D34</f>
        <v>-10622.115214000005</v>
      </c>
    </row>
    <row r="35" spans="1:8" x14ac:dyDescent="0.25">
      <c r="B35" t="s">
        <v>69</v>
      </c>
      <c r="D35" s="35">
        <v>5958.81</v>
      </c>
      <c r="F35" s="33">
        <f>+F34+C35-D35</f>
        <v>-16580.925214000006</v>
      </c>
      <c r="H35" s="35">
        <v>5958.81</v>
      </c>
    </row>
    <row r="36" spans="1:8" x14ac:dyDescent="0.25">
      <c r="B36" t="s">
        <v>68</v>
      </c>
      <c r="C36" s="33">
        <f>+DEUDORES!M4</f>
        <v>49974</v>
      </c>
      <c r="F36" s="33">
        <f>+F35+C36-D36</f>
        <v>33393.074785999997</v>
      </c>
    </row>
    <row r="37" spans="1:8" x14ac:dyDescent="0.25">
      <c r="B37" t="s">
        <v>57</v>
      </c>
      <c r="C37" s="44">
        <f>+DEUDORES!N3</f>
        <v>9201.5209130000003</v>
      </c>
      <c r="F37" s="33">
        <f>+F36+C37-D37</f>
        <v>42594.595698999998</v>
      </c>
    </row>
    <row r="38" spans="1:8" x14ac:dyDescent="0.25">
      <c r="B38" s="43" t="s">
        <v>63</v>
      </c>
      <c r="C38" s="44">
        <v>2845</v>
      </c>
      <c r="F38" s="33">
        <f>+F37+C38-D38</f>
        <v>45439.595698999998</v>
      </c>
    </row>
    <row r="39" spans="1:8" x14ac:dyDescent="0.25">
      <c r="B39" s="43" t="s">
        <v>62</v>
      </c>
      <c r="C39" s="44">
        <v>3800</v>
      </c>
      <c r="F39" s="33">
        <f>+F38+C39-D39</f>
        <v>49239.595698999998</v>
      </c>
    </row>
    <row r="40" spans="1:8" x14ac:dyDescent="0.25">
      <c r="A40" s="34">
        <v>44012</v>
      </c>
      <c r="B40" s="41" t="s">
        <v>67</v>
      </c>
      <c r="C40" s="40"/>
      <c r="E40" s="40">
        <f>+DEUDORES!N4</f>
        <v>21570.394301</v>
      </c>
      <c r="F40" s="33">
        <f>+F39+C40-D40</f>
        <v>49239.595698999998</v>
      </c>
    </row>
    <row r="41" spans="1:8" x14ac:dyDescent="0.25">
      <c r="F41" s="33">
        <f>+F40+C41-D41</f>
        <v>49239.595698999998</v>
      </c>
    </row>
    <row r="42" spans="1:8" x14ac:dyDescent="0.25">
      <c r="B42" t="s">
        <v>66</v>
      </c>
      <c r="D42" s="33">
        <v>49440.97</v>
      </c>
      <c r="F42" s="33">
        <f>+F41+C42-D42</f>
        <v>-201.37430100000347</v>
      </c>
    </row>
    <row r="43" spans="1:8" x14ac:dyDescent="0.25">
      <c r="B43" t="s">
        <v>65</v>
      </c>
      <c r="D43" s="35">
        <v>10559.03</v>
      </c>
      <c r="F43" s="33">
        <f>+F42+C43-D43</f>
        <v>-10760.404301000004</v>
      </c>
      <c r="H43" s="35">
        <v>10559.03</v>
      </c>
    </row>
    <row r="44" spans="1:8" x14ac:dyDescent="0.25">
      <c r="B44" t="s">
        <v>64</v>
      </c>
      <c r="C44" s="33">
        <f>+DEUDORES!O4</f>
        <v>49230</v>
      </c>
      <c r="F44" s="33">
        <f>+F43+C44-D44</f>
        <v>38469.595698999998</v>
      </c>
    </row>
    <row r="45" spans="1:8" x14ac:dyDescent="0.25">
      <c r="B45" t="s">
        <v>57</v>
      </c>
      <c r="C45" s="42">
        <f>+DEUDORES!P3</f>
        <v>13282.134326000001</v>
      </c>
      <c r="F45" s="33">
        <f>+F44+C45-D45</f>
        <v>51751.730024999997</v>
      </c>
    </row>
    <row r="46" spans="1:8" x14ac:dyDescent="0.25">
      <c r="B46" s="43" t="s">
        <v>63</v>
      </c>
      <c r="C46" s="42">
        <v>17688</v>
      </c>
      <c r="F46" s="33">
        <f>+F45+C46-D46</f>
        <v>69439.730024999997</v>
      </c>
    </row>
    <row r="47" spans="1:8" x14ac:dyDescent="0.25">
      <c r="B47" s="43" t="s">
        <v>62</v>
      </c>
      <c r="C47" s="42">
        <v>3800</v>
      </c>
      <c r="F47" s="33">
        <f>+F46+C47-D47</f>
        <v>73239.730024999997</v>
      </c>
    </row>
    <row r="48" spans="1:8" x14ac:dyDescent="0.25">
      <c r="A48" s="34">
        <v>44043</v>
      </c>
      <c r="B48" s="41" t="s">
        <v>61</v>
      </c>
      <c r="C48" s="40"/>
      <c r="E48" s="40">
        <f>+DEUDORES!P4</f>
        <v>20222.259975000001</v>
      </c>
      <c r="F48" s="33">
        <f>+F47+C48-D48</f>
        <v>73239.730024999997</v>
      </c>
    </row>
    <row r="49" spans="1:9" s="12" customFormat="1" x14ac:dyDescent="0.25">
      <c r="A49" s="39"/>
      <c r="B49" s="38"/>
      <c r="C49" s="37"/>
      <c r="D49" s="36"/>
      <c r="E49" s="37"/>
      <c r="F49" s="33">
        <f>+F48+C49-D49</f>
        <v>73239.730024999997</v>
      </c>
      <c r="G49" s="36"/>
      <c r="H49" s="36"/>
      <c r="I49" s="36"/>
    </row>
    <row r="50" spans="1:9" x14ac:dyDescent="0.25">
      <c r="B50" t="s">
        <v>60</v>
      </c>
      <c r="D50" s="33">
        <v>45868.57</v>
      </c>
      <c r="F50" s="33">
        <f>+F49+C50-D50</f>
        <v>27371.160024999997</v>
      </c>
    </row>
    <row r="51" spans="1:9" x14ac:dyDescent="0.25">
      <c r="B51" t="s">
        <v>59</v>
      </c>
      <c r="D51" s="35">
        <v>14131.43</v>
      </c>
      <c r="F51" s="33">
        <f>+F50+C51-D51</f>
        <v>13239.730024999997</v>
      </c>
      <c r="H51" s="35">
        <v>14131.43</v>
      </c>
    </row>
    <row r="52" spans="1:9" x14ac:dyDescent="0.25">
      <c r="B52" t="s">
        <v>58</v>
      </c>
      <c r="C52" s="33">
        <f>+DEUDORES!Q4</f>
        <v>54918</v>
      </c>
      <c r="F52" s="33">
        <f>+F51+C52-D52</f>
        <v>68157.730024999997</v>
      </c>
    </row>
    <row r="53" spans="1:9" x14ac:dyDescent="0.25">
      <c r="B53" t="s">
        <v>57</v>
      </c>
      <c r="C53" s="42">
        <f>+DEUDORES!R3</f>
        <v>15758.259975000001</v>
      </c>
      <c r="F53" s="33">
        <f>+F52+C53-D53</f>
        <v>83915.989999999991</v>
      </c>
    </row>
    <row r="54" spans="1:9" x14ac:dyDescent="0.25">
      <c r="A54" s="34">
        <v>44074</v>
      </c>
      <c r="B54" s="41" t="s">
        <v>56</v>
      </c>
      <c r="C54" s="40"/>
      <c r="E54" s="40">
        <f>+DEUDORES!R4</f>
        <v>9546</v>
      </c>
      <c r="F54" s="33">
        <f>+F53+C54-D54</f>
        <v>83915.989999999991</v>
      </c>
    </row>
    <row r="55" spans="1:9" s="12" customFormat="1" x14ac:dyDescent="0.25">
      <c r="A55" s="39"/>
      <c r="B55" s="38"/>
      <c r="C55" s="37"/>
      <c r="D55" s="36"/>
      <c r="E55" s="37"/>
      <c r="F55" s="33">
        <f>+F54+C55-D55</f>
        <v>83915.989999999991</v>
      </c>
      <c r="G55" s="36"/>
      <c r="H55" s="36"/>
      <c r="I55" s="36"/>
    </row>
    <row r="56" spans="1:9" s="12" customFormat="1" x14ac:dyDescent="0.25">
      <c r="A56" s="39"/>
      <c r="B56" s="38"/>
      <c r="C56" s="37"/>
      <c r="D56" s="36"/>
      <c r="E56" s="37"/>
      <c r="F56" s="33">
        <f>+F55+C56-D56</f>
        <v>83915.989999999991</v>
      </c>
      <c r="G56" s="36"/>
      <c r="H56" s="36"/>
      <c r="I56" s="36"/>
    </row>
    <row r="57" spans="1:9" x14ac:dyDescent="0.25">
      <c r="B57" t="s">
        <v>55</v>
      </c>
      <c r="D57" s="33">
        <v>66083.37</v>
      </c>
      <c r="F57" s="33">
        <f>+F56+C57-D57</f>
        <v>17832.619999999995</v>
      </c>
    </row>
    <row r="58" spans="1:9" x14ac:dyDescent="0.25">
      <c r="B58" t="s">
        <v>54</v>
      </c>
      <c r="D58" s="35">
        <v>0</v>
      </c>
      <c r="F58" s="33">
        <f>+F57+C58-D58</f>
        <v>17832.619999999995</v>
      </c>
      <c r="H58" s="35">
        <v>0</v>
      </c>
    </row>
    <row r="59" spans="1:9" ht="13.15" customHeight="1" x14ac:dyDescent="0.25">
      <c r="B59" t="s">
        <v>53</v>
      </c>
      <c r="C59" s="33">
        <f>+E54</f>
        <v>9546</v>
      </c>
      <c r="F59" s="33">
        <f>+F58+C59-D59</f>
        <v>27378.619999999995</v>
      </c>
    </row>
    <row r="60" spans="1:9" x14ac:dyDescent="0.25">
      <c r="F60" s="33">
        <f>+F59+C60-D60</f>
        <v>27378.619999999995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T52"/>
  <sheetViews>
    <sheetView workbookViewId="0">
      <pane xSplit="2" ySplit="4" topLeftCell="C35" activePane="bottomRight" state="frozen"/>
      <selection pane="topRight" activeCell="B1" sqref="B1"/>
      <selection pane="bottomLeft" activeCell="A2" sqref="A2"/>
      <selection pane="bottomRight" activeCell="F51" sqref="F51"/>
    </sheetView>
  </sheetViews>
  <sheetFormatPr baseColWidth="10" defaultRowHeight="15" x14ac:dyDescent="0.25"/>
  <cols>
    <col min="1" max="1" width="2.28515625" style="62" bestFit="1" customWidth="1"/>
    <col min="2" max="2" width="16.85546875" style="61" bestFit="1" customWidth="1"/>
    <col min="3" max="3" width="4.42578125" style="60" bestFit="1" customWidth="1"/>
    <col min="4" max="4" width="11.42578125" style="59"/>
    <col min="5" max="5" width="11.42578125" style="57"/>
    <col min="6" max="6" width="11.42578125" style="58"/>
    <col min="7" max="7" width="11.42578125" style="57"/>
    <col min="8" max="8" width="11.42578125" style="58"/>
    <col min="9" max="9" width="11.42578125" style="57"/>
    <col min="10" max="10" width="11.42578125" style="58"/>
    <col min="11" max="11" width="11.42578125" style="57"/>
    <col min="12" max="12" width="11.42578125" style="58"/>
    <col min="13" max="13" width="11.42578125" style="57"/>
    <col min="14" max="14" width="11.42578125" style="58"/>
    <col min="15" max="15" width="11.42578125" style="57"/>
    <col min="16" max="16" width="11.42578125" style="58"/>
    <col min="17" max="17" width="11.42578125" style="57"/>
    <col min="18" max="18" width="11.42578125" style="58"/>
    <col min="19" max="19" width="11.42578125" style="57"/>
    <col min="20" max="20" width="11.42578125" style="56"/>
  </cols>
  <sheetData>
    <row r="1" spans="1:20" x14ac:dyDescent="0.25">
      <c r="B1" s="61" t="s">
        <v>119</v>
      </c>
      <c r="C1" s="60" t="s">
        <v>118</v>
      </c>
      <c r="E1" s="57" t="s">
        <v>51</v>
      </c>
      <c r="F1" s="85" t="s">
        <v>117</v>
      </c>
      <c r="G1" s="57" t="s">
        <v>5</v>
      </c>
      <c r="H1" s="85" t="s">
        <v>116</v>
      </c>
      <c r="I1" s="57" t="s">
        <v>6</v>
      </c>
      <c r="J1" s="85" t="s">
        <v>115</v>
      </c>
      <c r="K1" s="57" t="s">
        <v>7</v>
      </c>
      <c r="L1" s="85" t="s">
        <v>114</v>
      </c>
      <c r="M1" s="57" t="s">
        <v>8</v>
      </c>
      <c r="N1" s="85" t="s">
        <v>113</v>
      </c>
      <c r="O1" s="57" t="s">
        <v>10</v>
      </c>
      <c r="P1" s="58" t="s">
        <v>112</v>
      </c>
      <c r="Q1" s="57" t="s">
        <v>13</v>
      </c>
      <c r="R1" s="85" t="s">
        <v>111</v>
      </c>
      <c r="S1" s="57" t="s">
        <v>14</v>
      </c>
    </row>
    <row r="2" spans="1:20" ht="30" x14ac:dyDescent="0.25">
      <c r="D2" s="80" t="s">
        <v>110</v>
      </c>
      <c r="E2" s="57">
        <v>59281.04</v>
      </c>
      <c r="F2" s="84" t="s">
        <v>109</v>
      </c>
      <c r="G2" s="57">
        <v>37070.25</v>
      </c>
      <c r="H2" s="84" t="s">
        <v>109</v>
      </c>
      <c r="I2" s="57">
        <v>60000</v>
      </c>
      <c r="J2" s="84" t="s">
        <v>109</v>
      </c>
      <c r="K2" s="57">
        <v>60000</v>
      </c>
      <c r="L2" s="84" t="s">
        <v>109</v>
      </c>
      <c r="M2" s="57">
        <v>60000</v>
      </c>
      <c r="N2" s="84" t="s">
        <v>109</v>
      </c>
      <c r="O2" s="57">
        <v>60000</v>
      </c>
      <c r="P2" s="84" t="s">
        <v>109</v>
      </c>
      <c r="Q2" s="57">
        <v>60000</v>
      </c>
      <c r="R2" s="84" t="s">
        <v>109</v>
      </c>
      <c r="S2" s="57">
        <v>66083.37</v>
      </c>
      <c r="T2" s="84" t="s">
        <v>109</v>
      </c>
    </row>
    <row r="3" spans="1:20" s="78" customFormat="1" x14ac:dyDescent="0.25">
      <c r="A3" s="83"/>
      <c r="B3" s="82" t="s">
        <v>108</v>
      </c>
      <c r="C3" s="81"/>
      <c r="D3" s="80"/>
      <c r="G3" s="77"/>
      <c r="H3" s="73">
        <f>+F7+F18+F20+F22+F23+F31+F34+F35+F37+F41</f>
        <v>15911.031136000001</v>
      </c>
      <c r="J3" s="68">
        <f>+H18+H20+H27+H30+H40</f>
        <v>4919.2221749999999</v>
      </c>
      <c r="L3" s="67">
        <f>+J7+J13+J21+J22+J25+J28+J30+J37+J41+J45</f>
        <v>18485.582902000002</v>
      </c>
      <c r="N3" s="63">
        <f>+F38+L6+L23</f>
        <v>9201.5209130000003</v>
      </c>
      <c r="P3" s="66">
        <f>+N12+N29+N33+N41</f>
        <v>13282.134326000001</v>
      </c>
      <c r="R3" s="72">
        <f>+P21+P23+P27+P33+P38+P41</f>
        <v>15758.259975000001</v>
      </c>
      <c r="S3" s="77"/>
      <c r="T3" s="79"/>
    </row>
    <row r="4" spans="1:20" x14ac:dyDescent="0.25">
      <c r="B4" s="61" t="s">
        <v>107</v>
      </c>
      <c r="E4" s="77">
        <f>+E8+E9+E10+E11+E13+E14+E15+E16+E17+E19+E21+E24+E26+E27+E28+E30+E29+E32+E33+E36+E39+E40+E42+E43+E44</f>
        <v>36825.382047999992</v>
      </c>
      <c r="F4" s="76">
        <f>SUM(F6:F46)</f>
        <v>22455.657952000005</v>
      </c>
      <c r="G4" s="57">
        <f>+G7+G8+G9+G10+G11+G13+G14+G15+G16+G17+G19+G22+G23+G24+G26+G28+G31+G32+G33+G34+G35+G36+G37+G39+G41+G42+G43+G44</f>
        <v>26620.146525000007</v>
      </c>
      <c r="H4" s="76">
        <f>SUM(H6:H46)</f>
        <v>16994.730291</v>
      </c>
      <c r="I4" s="57">
        <f>+I8+I9+I10+I11+I14+I15+I16+I17+I18+I19+I20+I24+I26+I27+I29+I31+I32+I33+I34+I35+I36+I39+I40+I42+I43+I44</f>
        <v>39990</v>
      </c>
      <c r="J4" s="76">
        <f>SUM(J6:J46)</f>
        <v>33249.498116000002</v>
      </c>
      <c r="K4" s="57">
        <f>+K7+K8+K9+K10+K11+K13+K14+K15+K16+K17+K18+K19+K20+K21+K22+K24+K25+K26+K27+K28+K30+K31+K32+K33+K34+K35+K36+K37+K39+K40+K41+K42+K43+K44+K45</f>
        <v>52854</v>
      </c>
      <c r="L4" s="76">
        <f>SUM(L6:L46)</f>
        <v>21909.915214000001</v>
      </c>
      <c r="M4" s="57">
        <f>+M6+M8+M9+M10+M11+M13+M14+M15+M16+M17+M18+M19+M20+M22+M23+M24+M25+M26+M27+M28+M30+M31+M32+M34+M35+M36+M37+M39+M40+M42+M43+M44+M45</f>
        <v>49974</v>
      </c>
      <c r="N4" s="76">
        <f>SUM(N6:N46)</f>
        <v>21570.394301</v>
      </c>
      <c r="O4" s="57">
        <f>+O6+O8+O9+O10+O11+O12+O13+O14+O15+O16+O17+O18+O19+O20+O22+O24+O25+O26+O28+O29+O30+O31+O32+O34+O35+O36+O37+O39+O40+O42+O43+O44+O45</f>
        <v>49230</v>
      </c>
      <c r="P4" s="76">
        <f>SUM(P6:P46)</f>
        <v>20222.259975000001</v>
      </c>
      <c r="Q4" s="57">
        <f>+Q6+Q8+Q9+Q10+Q11+Q12+Q13+Q14+Q15+Q16+Q18+Q20+Q21+Q22+Q23+Q24+Q25+Q26+Q27+Q28+Q29+Q30+Q31+Q32+Q33+Q34+Q35+Q36+Q37+Q38+Q39+Q40+Q41+Q42+Q43+Q44+Q45</f>
        <v>54918</v>
      </c>
      <c r="R4" s="76">
        <f>SUM(R6:R46)</f>
        <v>9546</v>
      </c>
      <c r="S4" s="57">
        <f>+S2-T4</f>
        <v>66083.37</v>
      </c>
      <c r="T4" s="58">
        <f>SUM(T6:T46)</f>
        <v>0</v>
      </c>
    </row>
    <row r="6" spans="1:20" x14ac:dyDescent="0.25">
      <c r="A6" s="62">
        <v>1</v>
      </c>
      <c r="B6" s="61" t="s">
        <v>106</v>
      </c>
      <c r="C6" s="60">
        <v>1.9300000000000001E-2</v>
      </c>
      <c r="E6" s="57">
        <f>+$E$2*C6</f>
        <v>1144.1240720000001</v>
      </c>
      <c r="F6" s="58">
        <f>+E6</f>
        <v>1144.1240720000001</v>
      </c>
      <c r="G6" s="57">
        <f>+$G$2*C6</f>
        <v>715.455825</v>
      </c>
      <c r="H6" s="58">
        <f>+G6+F6</f>
        <v>1859.5798970000001</v>
      </c>
      <c r="I6" s="57">
        <f>+$I$2*C6</f>
        <v>1158</v>
      </c>
      <c r="J6" s="58">
        <f>+H6+I6</f>
        <v>3017.5798970000001</v>
      </c>
      <c r="K6" s="57">
        <f>+$K$2*$C6</f>
        <v>1158</v>
      </c>
      <c r="L6" s="63">
        <f>+K6+J6</f>
        <v>4175.5798969999996</v>
      </c>
      <c r="M6" s="57">
        <f>+$M$2*$C6</f>
        <v>1158</v>
      </c>
      <c r="O6" s="57">
        <f>+$O$2*$C6</f>
        <v>1158</v>
      </c>
      <c r="Q6" s="57">
        <f>+$Q$2*$C6</f>
        <v>1158</v>
      </c>
      <c r="S6" s="57">
        <f>+$S$2*$C6</f>
        <v>1275.4090409999999</v>
      </c>
    </row>
    <row r="7" spans="1:20" x14ac:dyDescent="0.25">
      <c r="A7" s="62">
        <v>2</v>
      </c>
      <c r="B7" s="61" t="s">
        <v>105</v>
      </c>
      <c r="C7" s="60">
        <v>3.7199999999999997E-2</v>
      </c>
      <c r="E7" s="57">
        <f>+$E$2*C7</f>
        <v>2205.254688</v>
      </c>
      <c r="F7" s="73">
        <f>+E7</f>
        <v>2205.254688</v>
      </c>
      <c r="G7" s="57">
        <f>+$G$2*C7</f>
        <v>1379.0132999999998</v>
      </c>
      <c r="I7" s="57">
        <f>+$I$2*C7</f>
        <v>2232</v>
      </c>
      <c r="J7" s="67">
        <f>+I7</f>
        <v>2232</v>
      </c>
      <c r="K7" s="57">
        <f>+$K$2*$C7</f>
        <v>2232</v>
      </c>
      <c r="M7" s="57">
        <f>+$M$2*$C7</f>
        <v>2232</v>
      </c>
      <c r="N7" s="58">
        <f>+M7</f>
        <v>2232</v>
      </c>
      <c r="O7" s="57">
        <f>+$O$2*$C7</f>
        <v>2232</v>
      </c>
      <c r="P7" s="58">
        <f>+O7+N7</f>
        <v>4464</v>
      </c>
      <c r="Q7" s="57">
        <f>+$Q$2*$C7</f>
        <v>2232</v>
      </c>
      <c r="R7" s="58">
        <f>+Q7+P7</f>
        <v>6696</v>
      </c>
      <c r="S7" s="57">
        <f>+$S$2*$C7</f>
        <v>2458.3013639999995</v>
      </c>
    </row>
    <row r="8" spans="1:20" x14ac:dyDescent="0.25">
      <c r="A8" s="62">
        <v>3</v>
      </c>
      <c r="B8" s="61" t="s">
        <v>104</v>
      </c>
      <c r="C8" s="60">
        <v>2.5499999999999998E-2</v>
      </c>
      <c r="E8" s="57">
        <f>+$E$2*C8</f>
        <v>1511.66652</v>
      </c>
      <c r="G8" s="57">
        <f>+$G$2*C8</f>
        <v>945.2913749999999</v>
      </c>
      <c r="I8" s="57">
        <f>+$I$2*C8</f>
        <v>1530</v>
      </c>
      <c r="K8" s="57">
        <f>+$K$2*$C8</f>
        <v>1530</v>
      </c>
      <c r="M8" s="57">
        <f>+$M$2*$C8</f>
        <v>1530</v>
      </c>
      <c r="O8" s="57">
        <f>+$O$2*$C8</f>
        <v>1530</v>
      </c>
      <c r="Q8" s="57">
        <f>+$Q$2*$C8</f>
        <v>1530</v>
      </c>
      <c r="S8" s="57">
        <f>+$S$2*$C8</f>
        <v>1685.1259349999998</v>
      </c>
    </row>
    <row r="9" spans="1:20" x14ac:dyDescent="0.25">
      <c r="A9" s="62">
        <v>4</v>
      </c>
      <c r="B9" s="61" t="s">
        <v>103</v>
      </c>
      <c r="C9" s="60">
        <v>1.9800000000000002E-2</v>
      </c>
      <c r="E9" s="57">
        <f>+$E$2*C9</f>
        <v>1173.7645920000002</v>
      </c>
      <c r="G9" s="57">
        <f>+$G$2*C9</f>
        <v>733.99095000000011</v>
      </c>
      <c r="I9" s="57">
        <f>+$I$2*C9</f>
        <v>1188</v>
      </c>
      <c r="K9" s="57">
        <f>+$K$2*$C9</f>
        <v>1188</v>
      </c>
      <c r="M9" s="57">
        <f>+$M$2*$C9</f>
        <v>1188</v>
      </c>
      <c r="O9" s="57">
        <f>+$O$2*$C9</f>
        <v>1188</v>
      </c>
      <c r="Q9" s="57">
        <f>+$Q$2*$C9</f>
        <v>1188</v>
      </c>
      <c r="S9" s="57">
        <f>+$S$2*$C9</f>
        <v>1308.450726</v>
      </c>
    </row>
    <row r="10" spans="1:20" x14ac:dyDescent="0.25">
      <c r="A10" s="62">
        <v>5</v>
      </c>
      <c r="B10" s="61">
        <v>101</v>
      </c>
      <c r="C10" s="60">
        <v>2.7900000000000001E-2</v>
      </c>
      <c r="E10" s="57">
        <f>+$E$2*C10</f>
        <v>1653.941016</v>
      </c>
      <c r="G10" s="57">
        <f>+$G$2*C10</f>
        <v>1034.2599749999999</v>
      </c>
      <c r="I10" s="57">
        <f>+$I$2*C10</f>
        <v>1674</v>
      </c>
      <c r="K10" s="57">
        <f>+$K$2*$C10</f>
        <v>1674</v>
      </c>
      <c r="M10" s="57">
        <f>+$M$2*$C10</f>
        <v>1674</v>
      </c>
      <c r="O10" s="57">
        <f>+$O$2*$C10</f>
        <v>1674</v>
      </c>
      <c r="Q10" s="57">
        <f>+$Q$2*$C10</f>
        <v>1674</v>
      </c>
      <c r="S10" s="57">
        <f>+$S$2*$C10</f>
        <v>1843.7260229999999</v>
      </c>
    </row>
    <row r="11" spans="1:20" x14ac:dyDescent="0.25">
      <c r="A11" s="62">
        <v>6</v>
      </c>
      <c r="B11" s="61">
        <v>102</v>
      </c>
      <c r="C11" s="60">
        <v>2.81E-2</v>
      </c>
      <c r="D11" s="65">
        <v>1354</v>
      </c>
      <c r="E11" s="57">
        <f>+$E$2*C11</f>
        <v>1665.7972239999999</v>
      </c>
      <c r="G11" s="57">
        <f>+$G$2*C11</f>
        <v>1041.674025</v>
      </c>
      <c r="I11" s="57">
        <f>+$I$2*C11</f>
        <v>1686</v>
      </c>
      <c r="K11" s="57">
        <f>+$K$2*$C11</f>
        <v>1686</v>
      </c>
      <c r="M11" s="57">
        <f>+$M$2*$C11</f>
        <v>1686</v>
      </c>
      <c r="O11" s="57">
        <f>+$O$2*$C11</f>
        <v>1686</v>
      </c>
      <c r="Q11" s="57">
        <f>+$Q$2*$C11</f>
        <v>1686</v>
      </c>
      <c r="S11" s="57">
        <f>+$S$2*$C11</f>
        <v>1856.942697</v>
      </c>
    </row>
    <row r="12" spans="1:20" x14ac:dyDescent="0.25">
      <c r="A12" s="62">
        <v>7</v>
      </c>
      <c r="B12" s="61">
        <v>103</v>
      </c>
      <c r="C12" s="60">
        <v>2.4400000000000002E-2</v>
      </c>
      <c r="E12" s="57">
        <f>+$E$2*C12</f>
        <v>1446.4573760000001</v>
      </c>
      <c r="F12" s="58">
        <f>+E12</f>
        <v>1446.4573760000001</v>
      </c>
      <c r="G12" s="57">
        <f>+$G$2*C12</f>
        <v>904.5141000000001</v>
      </c>
      <c r="H12" s="58">
        <f>+G12+F12</f>
        <v>2350.9714760000002</v>
      </c>
      <c r="I12" s="57">
        <f>+$I$2*C12</f>
        <v>1464</v>
      </c>
      <c r="J12" s="58">
        <f>+H12+I12</f>
        <v>3814.9714760000002</v>
      </c>
      <c r="K12" s="57">
        <f>+$K$2*$C12</f>
        <v>1464</v>
      </c>
      <c r="L12" s="58">
        <f>+K12+J12</f>
        <v>5278.9714760000006</v>
      </c>
      <c r="M12" s="57">
        <f>+$M$2*$C12</f>
        <v>1464</v>
      </c>
      <c r="N12" s="66">
        <f>+L12+M12</f>
        <v>6742.9714760000006</v>
      </c>
      <c r="O12" s="57">
        <f>+$O$2*$C12</f>
        <v>1464</v>
      </c>
      <c r="Q12" s="57">
        <f>+$Q$2*$C12</f>
        <v>1464</v>
      </c>
      <c r="S12" s="57">
        <f>+$S$2*$C12</f>
        <v>1612.4342280000001</v>
      </c>
    </row>
    <row r="13" spans="1:20" x14ac:dyDescent="0.25">
      <c r="A13" s="62">
        <v>8</v>
      </c>
      <c r="B13" s="61">
        <v>104</v>
      </c>
      <c r="C13" s="60">
        <v>1.9400000000000001E-2</v>
      </c>
      <c r="E13" s="57">
        <f>+$E$2*C13</f>
        <v>1150.0521760000001</v>
      </c>
      <c r="G13" s="57">
        <f>+$G$2*C13</f>
        <v>719.16285000000005</v>
      </c>
      <c r="I13" s="57">
        <f>+$I$2*C13</f>
        <v>1164</v>
      </c>
      <c r="J13" s="67">
        <f>+I13</f>
        <v>1164</v>
      </c>
      <c r="K13" s="57">
        <f>+$K$2*$C13</f>
        <v>1164</v>
      </c>
      <c r="M13" s="57">
        <f>+$M$2*$C13</f>
        <v>1164</v>
      </c>
      <c r="O13" s="57">
        <f>+$O$2*$C13</f>
        <v>1164</v>
      </c>
      <c r="Q13" s="57">
        <f>+$Q$2*$C13</f>
        <v>1164</v>
      </c>
      <c r="S13" s="57">
        <f>+$S$2*$C13</f>
        <v>1282.017378</v>
      </c>
    </row>
    <row r="14" spans="1:20" x14ac:dyDescent="0.25">
      <c r="A14" s="62">
        <v>9</v>
      </c>
      <c r="B14" s="61">
        <v>201</v>
      </c>
      <c r="C14" s="60">
        <v>2.7900000000000001E-2</v>
      </c>
      <c r="E14" s="57">
        <f>+$E$2*C14</f>
        <v>1653.941016</v>
      </c>
      <c r="G14" s="57">
        <f>+$G$2*C14</f>
        <v>1034.2599749999999</v>
      </c>
      <c r="I14" s="57">
        <f>+$I$2*C14</f>
        <v>1674</v>
      </c>
      <c r="K14" s="57">
        <f>+$K$2*$C14</f>
        <v>1674</v>
      </c>
      <c r="M14" s="57">
        <f>+$M$2*$C14</f>
        <v>1674</v>
      </c>
      <c r="O14" s="57">
        <f>+$O$2*$C14</f>
        <v>1674</v>
      </c>
      <c r="Q14" s="57">
        <f>+$Q$2*$C14</f>
        <v>1674</v>
      </c>
      <c r="S14" s="57">
        <f>+$S$2*$C14</f>
        <v>1843.7260229999999</v>
      </c>
    </row>
    <row r="15" spans="1:20" x14ac:dyDescent="0.25">
      <c r="A15" s="62">
        <v>10</v>
      </c>
      <c r="B15" s="61">
        <v>202</v>
      </c>
      <c r="C15" s="60">
        <v>2.81E-2</v>
      </c>
      <c r="E15" s="57">
        <f>+$E$2*C15</f>
        <v>1665.7972239999999</v>
      </c>
      <c r="G15" s="57">
        <f>+$G$2*C15</f>
        <v>1041.674025</v>
      </c>
      <c r="I15" s="57">
        <f>+$I$2*C15</f>
        <v>1686</v>
      </c>
      <c r="K15" s="57">
        <f>+$K$2*$C15</f>
        <v>1686</v>
      </c>
      <c r="M15" s="57">
        <f>+$M$2*$C15</f>
        <v>1686</v>
      </c>
      <c r="O15" s="57">
        <f>+$O$2*$C15</f>
        <v>1686</v>
      </c>
      <c r="Q15" s="57">
        <f>+$Q$2*$C15</f>
        <v>1686</v>
      </c>
      <c r="S15" s="57">
        <f>+$S$2*$C15</f>
        <v>1856.942697</v>
      </c>
    </row>
    <row r="16" spans="1:20" x14ac:dyDescent="0.25">
      <c r="A16" s="62">
        <v>11</v>
      </c>
      <c r="B16" s="61">
        <v>203</v>
      </c>
      <c r="C16" s="60">
        <v>2.4400000000000002E-2</v>
      </c>
      <c r="E16" s="57">
        <f>+$E$2*C16</f>
        <v>1446.4573760000001</v>
      </c>
      <c r="G16" s="57">
        <f>+$G$2*C16</f>
        <v>904.5141000000001</v>
      </c>
      <c r="I16" s="57">
        <f>+$I$2*C16</f>
        <v>1464</v>
      </c>
      <c r="K16" s="57">
        <f>+$K$2*$C16</f>
        <v>1464</v>
      </c>
      <c r="M16" s="57">
        <f>+$M$2*$C16</f>
        <v>1464</v>
      </c>
      <c r="O16" s="57">
        <f>+$O$2*$C16</f>
        <v>1464</v>
      </c>
      <c r="Q16" s="57">
        <f>+$Q$2*$C16</f>
        <v>1464</v>
      </c>
      <c r="S16" s="57">
        <f>+$S$2*$C16</f>
        <v>1612.4342280000001</v>
      </c>
    </row>
    <row r="17" spans="1:19" x14ac:dyDescent="0.25">
      <c r="A17" s="62">
        <v>12</v>
      </c>
      <c r="B17" s="61">
        <v>204</v>
      </c>
      <c r="C17" s="60">
        <v>1.9400000000000001E-2</v>
      </c>
      <c r="E17" s="57">
        <f>+$E$2*C17</f>
        <v>1150.0521760000001</v>
      </c>
      <c r="G17" s="57">
        <f>+$G$2*C17</f>
        <v>719.16285000000005</v>
      </c>
      <c r="I17" s="57">
        <f>+$I$2*C17</f>
        <v>1164</v>
      </c>
      <c r="K17" s="57">
        <f>+$K$2*$C17</f>
        <v>1164</v>
      </c>
      <c r="M17" s="57">
        <f>+$M$2*$C17</f>
        <v>1164</v>
      </c>
      <c r="O17" s="57">
        <f>+$O$2*$C17</f>
        <v>1164</v>
      </c>
      <c r="Q17" s="57">
        <f>+$Q$2*$C17</f>
        <v>1164</v>
      </c>
      <c r="R17" s="58">
        <f>+Q17</f>
        <v>1164</v>
      </c>
      <c r="S17" s="57">
        <f>+$S$2*$C17</f>
        <v>1282.017378</v>
      </c>
    </row>
    <row r="18" spans="1:19" x14ac:dyDescent="0.25">
      <c r="A18" s="62">
        <v>13</v>
      </c>
      <c r="B18" s="61">
        <v>301</v>
      </c>
      <c r="C18" s="60">
        <v>2.7900000000000001E-2</v>
      </c>
      <c r="D18" s="65">
        <v>10310</v>
      </c>
      <c r="E18" s="57">
        <f>+$E$2*C18</f>
        <v>1653.941016</v>
      </c>
      <c r="F18" s="73">
        <f>+E18</f>
        <v>1653.941016</v>
      </c>
      <c r="G18" s="57">
        <f>+$G$2*C18</f>
        <v>1034.2599749999999</v>
      </c>
      <c r="H18" s="68">
        <f>+G18</f>
        <v>1034.2599749999999</v>
      </c>
      <c r="I18" s="57">
        <f>+$I$2*C18</f>
        <v>1674</v>
      </c>
      <c r="K18" s="57">
        <f>+$K$2*$C18</f>
        <v>1674</v>
      </c>
      <c r="M18" s="57">
        <f>+$M$2*$C18</f>
        <v>1674</v>
      </c>
      <c r="O18" s="57">
        <f>+$O$2*$C18</f>
        <v>1674</v>
      </c>
      <c r="Q18" s="57">
        <f>+$Q$2*$C18</f>
        <v>1674</v>
      </c>
      <c r="S18" s="57">
        <f>+$S$2*$C18</f>
        <v>1843.7260229999999</v>
      </c>
    </row>
    <row r="19" spans="1:19" x14ac:dyDescent="0.25">
      <c r="A19" s="62">
        <v>14</v>
      </c>
      <c r="B19" s="61">
        <v>302</v>
      </c>
      <c r="C19" s="60">
        <v>2.81E-2</v>
      </c>
      <c r="E19" s="57">
        <f>+$E$2*C19</f>
        <v>1665.7972239999999</v>
      </c>
      <c r="G19" s="57">
        <f>+$G$2*C19</f>
        <v>1041.674025</v>
      </c>
      <c r="I19" s="57">
        <f>+$I$2*C19</f>
        <v>1686</v>
      </c>
      <c r="K19" s="57">
        <f>+$K$2*$C19</f>
        <v>1686</v>
      </c>
      <c r="M19" s="57">
        <f>+$M$2*$C19</f>
        <v>1686</v>
      </c>
      <c r="O19" s="57">
        <f>+$O$2*$C19</f>
        <v>1686</v>
      </c>
      <c r="Q19" s="57">
        <f>+$Q$2*$C19</f>
        <v>1686</v>
      </c>
      <c r="R19" s="58">
        <f>+Q19</f>
        <v>1686</v>
      </c>
      <c r="S19" s="57">
        <f>+$S$2*$C19</f>
        <v>1856.942697</v>
      </c>
    </row>
    <row r="20" spans="1:19" x14ac:dyDescent="0.25">
      <c r="A20" s="62">
        <v>15</v>
      </c>
      <c r="B20" s="61">
        <v>303</v>
      </c>
      <c r="C20" s="60">
        <v>2.4400000000000002E-2</v>
      </c>
      <c r="E20" s="57">
        <f>+$E$2*C20</f>
        <v>1446.4573760000001</v>
      </c>
      <c r="F20" s="73">
        <f>+E20</f>
        <v>1446.4573760000001</v>
      </c>
      <c r="G20" s="57">
        <f>+$G$2*C20</f>
        <v>904.5141000000001</v>
      </c>
      <c r="H20" s="68">
        <f>+G20</f>
        <v>904.5141000000001</v>
      </c>
      <c r="I20" s="57">
        <f>+$I$2*C20</f>
        <v>1464</v>
      </c>
      <c r="K20" s="57">
        <f>+$K$2*$C20</f>
        <v>1464</v>
      </c>
      <c r="M20" s="57">
        <f>+$M$2*$C20</f>
        <v>1464</v>
      </c>
      <c r="O20" s="57">
        <f>+$O$2*$C20</f>
        <v>1464</v>
      </c>
      <c r="Q20" s="57">
        <f>+$Q$2*$C20</f>
        <v>1464</v>
      </c>
      <c r="S20" s="57">
        <f>+$S$2*$C20</f>
        <v>1612.4342280000001</v>
      </c>
    </row>
    <row r="21" spans="1:19" x14ac:dyDescent="0.25">
      <c r="A21" s="62">
        <v>16</v>
      </c>
      <c r="B21" s="61">
        <v>304</v>
      </c>
      <c r="C21" s="60">
        <v>1.9400000000000001E-2</v>
      </c>
      <c r="D21" s="70">
        <v>940</v>
      </c>
      <c r="E21" s="57">
        <f>+$E$2*C21</f>
        <v>1150.0521760000001</v>
      </c>
      <c r="G21" s="57">
        <f>+$G$2*C21</f>
        <v>719.16285000000005</v>
      </c>
      <c r="H21" s="58">
        <f>+G21</f>
        <v>719.16285000000005</v>
      </c>
      <c r="I21" s="57">
        <f>+$I$2*C21</f>
        <v>1164</v>
      </c>
      <c r="J21" s="67">
        <f>+I21+H21</f>
        <v>1883.1628500000002</v>
      </c>
      <c r="K21" s="57">
        <f>+$K$2*$C21</f>
        <v>1164</v>
      </c>
      <c r="M21" s="74">
        <f>+$M$2*$C21</f>
        <v>1164</v>
      </c>
      <c r="N21" s="75"/>
      <c r="O21" s="74">
        <f>+$O$2*$C21</f>
        <v>1164</v>
      </c>
      <c r="P21" s="72">
        <f>+O21+M21</f>
        <v>2328</v>
      </c>
      <c r="Q21" s="57">
        <f>+$Q$2*$C21</f>
        <v>1164</v>
      </c>
      <c r="S21" s="57">
        <f>+$S$2*$C21</f>
        <v>1282.017378</v>
      </c>
    </row>
    <row r="22" spans="1:19" x14ac:dyDescent="0.25">
      <c r="A22" s="62">
        <v>17</v>
      </c>
      <c r="B22" s="61">
        <v>401</v>
      </c>
      <c r="C22" s="60">
        <v>2.7900000000000001E-2</v>
      </c>
      <c r="D22" s="67">
        <v>1355</v>
      </c>
      <c r="E22" s="57">
        <f>+$E$2*C22</f>
        <v>1653.941016</v>
      </c>
      <c r="F22" s="73">
        <f>+E22</f>
        <v>1653.941016</v>
      </c>
      <c r="G22" s="57">
        <f>+$G$2*C22</f>
        <v>1034.2599749999999</v>
      </c>
      <c r="I22" s="57">
        <f>+$I$2*C22</f>
        <v>1674</v>
      </c>
      <c r="J22" s="67">
        <f>+I22</f>
        <v>1674</v>
      </c>
      <c r="K22" s="57">
        <f>+$K$2*$C22</f>
        <v>1674</v>
      </c>
      <c r="M22" s="57">
        <f>+$M$2*$C22</f>
        <v>1674</v>
      </c>
      <c r="O22" s="57">
        <f>+$O$2*$C22</f>
        <v>1674</v>
      </c>
      <c r="Q22" s="57">
        <f>+$Q$2*$C22</f>
        <v>1674</v>
      </c>
      <c r="S22" s="57">
        <f>+$S$2*$C22</f>
        <v>1843.7260229999999</v>
      </c>
    </row>
    <row r="23" spans="1:19" x14ac:dyDescent="0.25">
      <c r="A23" s="62">
        <v>18</v>
      </c>
      <c r="B23" s="61">
        <v>402</v>
      </c>
      <c r="C23" s="60">
        <v>2.81E-2</v>
      </c>
      <c r="E23" s="57">
        <f>+$E$2*C23</f>
        <v>1665.7972239999999</v>
      </c>
      <c r="F23" s="73">
        <f>+E23</f>
        <v>1665.7972239999999</v>
      </c>
      <c r="G23" s="57">
        <f>+$G$2*C23</f>
        <v>1041.674025</v>
      </c>
      <c r="I23" s="57">
        <f>+$I$2*C23</f>
        <v>1686</v>
      </c>
      <c r="J23" s="58">
        <f>+I23</f>
        <v>1686</v>
      </c>
      <c r="K23" s="57">
        <f>+$K$2*$C23</f>
        <v>1686</v>
      </c>
      <c r="L23" s="63">
        <f>+K23+J23</f>
        <v>3372</v>
      </c>
      <c r="M23" s="57">
        <f>+$M$2*$C23</f>
        <v>1686</v>
      </c>
      <c r="O23" s="57">
        <f>+$O$2*$C23</f>
        <v>1686</v>
      </c>
      <c r="P23" s="72">
        <f>+O23</f>
        <v>1686</v>
      </c>
      <c r="Q23" s="57">
        <f>+$Q$2*$C23</f>
        <v>1686</v>
      </c>
      <c r="S23" s="57">
        <f>+$S$2*$C23</f>
        <v>1856.942697</v>
      </c>
    </row>
    <row r="24" spans="1:19" x14ac:dyDescent="0.25">
      <c r="A24" s="62">
        <v>19</v>
      </c>
      <c r="B24" s="61">
        <v>403</v>
      </c>
      <c r="C24" s="60">
        <v>2.4400000000000002E-2</v>
      </c>
      <c r="E24" s="57">
        <f>+$E$2*C24</f>
        <v>1446.4573760000001</v>
      </c>
      <c r="G24" s="57">
        <f>+$G$2*C24</f>
        <v>904.5141000000001</v>
      </c>
      <c r="I24" s="57">
        <f>+$I$2*C24</f>
        <v>1464</v>
      </c>
      <c r="K24" s="57">
        <f>+$K$2*$C24</f>
        <v>1464</v>
      </c>
      <c r="M24" s="57">
        <f>+$M$2*$C24</f>
        <v>1464</v>
      </c>
      <c r="O24" s="57">
        <f>+$O$2*$C24</f>
        <v>1464</v>
      </c>
      <c r="Q24" s="57">
        <f>+$Q$2*$C24</f>
        <v>1464</v>
      </c>
      <c r="S24" s="57">
        <f>+$S$2*$C24</f>
        <v>1612.4342280000001</v>
      </c>
    </row>
    <row r="25" spans="1:19" x14ac:dyDescent="0.25">
      <c r="A25" s="62">
        <v>20</v>
      </c>
      <c r="B25" s="61">
        <v>404</v>
      </c>
      <c r="C25" s="60">
        <v>1.9400000000000001E-2</v>
      </c>
      <c r="D25" s="66">
        <v>17688</v>
      </c>
      <c r="E25" s="57">
        <f>+$E$2*C25</f>
        <v>1150.0521760000001</v>
      </c>
      <c r="F25" s="58">
        <f>+E25</f>
        <v>1150.0521760000001</v>
      </c>
      <c r="G25" s="57">
        <f>+$G$2*C25</f>
        <v>719.16285000000005</v>
      </c>
      <c r="H25" s="58">
        <f>+G25+F25</f>
        <v>1869.2150260000003</v>
      </c>
      <c r="I25" s="57">
        <f>+$I$2*C25</f>
        <v>1164</v>
      </c>
      <c r="J25" s="67">
        <f>+H25+I25-0.01</f>
        <v>3033.2050260000001</v>
      </c>
      <c r="K25" s="57">
        <f>+$K$2*$C25</f>
        <v>1164</v>
      </c>
      <c r="M25" s="57">
        <f>+$M$2*$C25</f>
        <v>1164</v>
      </c>
      <c r="O25" s="57">
        <f>+$O$2*$C25</f>
        <v>1164</v>
      </c>
      <c r="Q25" s="57">
        <f>+$Q$2*$C25</f>
        <v>1164</v>
      </c>
      <c r="S25" s="57">
        <f>+$S$2*$C25</f>
        <v>1282.017378</v>
      </c>
    </row>
    <row r="26" spans="1:19" x14ac:dyDescent="0.25">
      <c r="A26" s="62">
        <v>21</v>
      </c>
      <c r="B26" s="61">
        <v>501</v>
      </c>
      <c r="C26" s="60">
        <v>2.7900000000000001E-2</v>
      </c>
      <c r="E26" s="57">
        <f>+$E$2*C26</f>
        <v>1653.941016</v>
      </c>
      <c r="G26" s="57">
        <f>+$G$2*C26</f>
        <v>1034.2599749999999</v>
      </c>
      <c r="I26" s="57">
        <f>+$I$2*C26</f>
        <v>1674</v>
      </c>
      <c r="K26" s="57">
        <f>+$K$2*$C26</f>
        <v>1674</v>
      </c>
      <c r="M26" s="57">
        <f>+$M$2*$C26</f>
        <v>1674</v>
      </c>
      <c r="O26" s="57">
        <f>+$O$2*$C26</f>
        <v>1674</v>
      </c>
      <c r="Q26" s="57">
        <f>+$Q$2*$C26</f>
        <v>1674</v>
      </c>
      <c r="S26" s="57">
        <f>+$S$2*$C26</f>
        <v>1843.7260229999999</v>
      </c>
    </row>
    <row r="27" spans="1:19" x14ac:dyDescent="0.25">
      <c r="A27" s="62">
        <v>22</v>
      </c>
      <c r="B27" s="61">
        <v>502</v>
      </c>
      <c r="C27" s="60">
        <v>2.81E-2</v>
      </c>
      <c r="D27" s="70">
        <v>1355</v>
      </c>
      <c r="E27" s="57">
        <f>+$E$2*C27</f>
        <v>1665.7972239999999</v>
      </c>
      <c r="G27" s="57">
        <f>+$G$2*C27</f>
        <v>1041.674025</v>
      </c>
      <c r="H27" s="68">
        <f>+G27</f>
        <v>1041.674025</v>
      </c>
      <c r="I27" s="57">
        <f>+$I$2*C27</f>
        <v>1686</v>
      </c>
      <c r="K27" s="57">
        <f>+$K$2*$C27</f>
        <v>1686</v>
      </c>
      <c r="M27" s="57">
        <f>+$M$2*$C27</f>
        <v>1686</v>
      </c>
      <c r="O27" s="57">
        <f>+$O$2*$C27</f>
        <v>1686</v>
      </c>
      <c r="P27" s="72">
        <f>+O27</f>
        <v>1686</v>
      </c>
      <c r="Q27" s="57">
        <f>+$Q$2*$C27</f>
        <v>1686</v>
      </c>
      <c r="S27" s="57">
        <f>+$S$2*$C27</f>
        <v>1856.942697</v>
      </c>
    </row>
    <row r="28" spans="1:19" x14ac:dyDescent="0.25">
      <c r="A28" s="62">
        <v>23</v>
      </c>
      <c r="B28" s="61">
        <v>503</v>
      </c>
      <c r="C28" s="60">
        <v>2.4400000000000002E-2</v>
      </c>
      <c r="D28" s="65">
        <v>1170</v>
      </c>
      <c r="E28" s="57">
        <f>+$E$2*C28</f>
        <v>1446.4573760000001</v>
      </c>
      <c r="G28" s="57">
        <f>+$G$2*C28</f>
        <v>904.5141000000001</v>
      </c>
      <c r="I28" s="57">
        <f>+$I$2*C28</f>
        <v>1464</v>
      </c>
      <c r="J28" s="67">
        <f>+I28</f>
        <v>1464</v>
      </c>
      <c r="K28" s="57">
        <f>+$K$2*$C28</f>
        <v>1464</v>
      </c>
      <c r="M28" s="57">
        <f>+$M$2*$C28</f>
        <v>1464</v>
      </c>
      <c r="O28" s="57">
        <f>+$O$2*$C28</f>
        <v>1464</v>
      </c>
      <c r="Q28" s="57">
        <f>+$Q$2*$C28</f>
        <v>1464</v>
      </c>
      <c r="S28" s="57">
        <f>+$S$2*$C28</f>
        <v>1612.4342280000001</v>
      </c>
    </row>
    <row r="29" spans="1:19" x14ac:dyDescent="0.25">
      <c r="A29" s="62">
        <v>24</v>
      </c>
      <c r="B29" s="61">
        <v>504</v>
      </c>
      <c r="C29" s="60">
        <v>1.9400000000000001E-2</v>
      </c>
      <c r="E29" s="57">
        <f>+$E$2*C29</f>
        <v>1150.0521760000001</v>
      </c>
      <c r="G29" s="57">
        <f>+$G$2*C29</f>
        <v>719.16285000000005</v>
      </c>
      <c r="H29" s="58">
        <f>+G29</f>
        <v>719.16285000000005</v>
      </c>
      <c r="I29" s="57">
        <f>+$I$2*C29</f>
        <v>1164</v>
      </c>
      <c r="J29" s="58">
        <f>+I29+H29</f>
        <v>1883.1628500000002</v>
      </c>
      <c r="K29" s="57">
        <f>+$K$2*$C29</f>
        <v>1164</v>
      </c>
      <c r="L29" s="58">
        <f>+K29+J29</f>
        <v>3047.1628500000002</v>
      </c>
      <c r="M29" s="57">
        <f>+$M$2*$C29</f>
        <v>1164</v>
      </c>
      <c r="N29" s="66">
        <f>+M29+L29</f>
        <v>4211.1628500000006</v>
      </c>
      <c r="O29" s="57">
        <f>+$O$2*$C29</f>
        <v>1164</v>
      </c>
      <c r="Q29" s="57">
        <f>+$Q$2*$C29</f>
        <v>1164</v>
      </c>
      <c r="S29" s="57">
        <f>+$S$2*$C29</f>
        <v>1282.017378</v>
      </c>
    </row>
    <row r="30" spans="1:19" x14ac:dyDescent="0.25">
      <c r="A30" s="62">
        <v>25</v>
      </c>
      <c r="B30" s="64">
        <v>601</v>
      </c>
      <c r="C30" s="60">
        <v>2.7900000000000001E-2</v>
      </c>
      <c r="D30" s="59">
        <v>36764</v>
      </c>
      <c r="E30" s="57">
        <f>+$E$2*C30</f>
        <v>1653.941016</v>
      </c>
      <c r="G30" s="57">
        <f>+$G$2*C30</f>
        <v>1034.2599749999999</v>
      </c>
      <c r="H30" s="68">
        <f>+G30</f>
        <v>1034.2599749999999</v>
      </c>
      <c r="I30" s="57">
        <f>+$I$2*C30</f>
        <v>1674</v>
      </c>
      <c r="J30" s="67">
        <f>+I30</f>
        <v>1674</v>
      </c>
      <c r="K30" s="57">
        <f>+$K$2*$C30</f>
        <v>1674</v>
      </c>
      <c r="M30" s="57">
        <f>+$M$2*$C30</f>
        <v>1674</v>
      </c>
      <c r="O30" s="57">
        <f>+$O$2*$C30</f>
        <v>1674</v>
      </c>
      <c r="Q30" s="57">
        <f>+$Q$2*$C30</f>
        <v>1674</v>
      </c>
      <c r="S30" s="57">
        <f>+$S$2*$C30</f>
        <v>1843.7260229999999</v>
      </c>
    </row>
    <row r="31" spans="1:19" x14ac:dyDescent="0.25">
      <c r="A31" s="62">
        <v>26</v>
      </c>
      <c r="B31" s="61">
        <v>602</v>
      </c>
      <c r="C31" s="60">
        <v>2.81E-2</v>
      </c>
      <c r="E31" s="57">
        <f>+$E$2*C31</f>
        <v>1665.7972239999999</v>
      </c>
      <c r="F31" s="73">
        <f>+E31</f>
        <v>1665.7972239999999</v>
      </c>
      <c r="G31" s="57">
        <f>+$G$2*C31</f>
        <v>1041.674025</v>
      </c>
      <c r="I31" s="57">
        <f>+$I$2*C31</f>
        <v>1686</v>
      </c>
      <c r="K31" s="57">
        <f>+$K$2*$C31</f>
        <v>1686</v>
      </c>
      <c r="M31" s="57">
        <f>+$M$2*$C31</f>
        <v>1686</v>
      </c>
      <c r="O31" s="57">
        <f>+$O$2*$C31</f>
        <v>1686</v>
      </c>
      <c r="Q31" s="57">
        <f>+$Q$2*$C31</f>
        <v>1686</v>
      </c>
      <c r="S31" s="57">
        <f>+$S$2*$C31</f>
        <v>1856.942697</v>
      </c>
    </row>
    <row r="32" spans="1:19" x14ac:dyDescent="0.25">
      <c r="A32" s="62">
        <v>27</v>
      </c>
      <c r="B32" s="61">
        <v>603</v>
      </c>
      <c r="C32" s="60">
        <v>2.4400000000000002E-2</v>
      </c>
      <c r="E32" s="57">
        <f>+$E$2*C32</f>
        <v>1446.4573760000001</v>
      </c>
      <c r="G32" s="57">
        <f>+$G$2*C32</f>
        <v>904.5141000000001</v>
      </c>
      <c r="I32" s="57">
        <f>+$I$2*C32</f>
        <v>1464</v>
      </c>
      <c r="K32" s="57">
        <f>+$K$2*$C32</f>
        <v>1464</v>
      </c>
      <c r="M32" s="57">
        <f>+$M$2*$C32</f>
        <v>1464</v>
      </c>
      <c r="O32" s="57">
        <f>+$O$2*$C32</f>
        <v>1464</v>
      </c>
      <c r="Q32" s="57">
        <f>+$Q$2*$C32</f>
        <v>1464</v>
      </c>
      <c r="S32" s="57">
        <f>+$S$2*$C32</f>
        <v>1612.4342280000001</v>
      </c>
    </row>
    <row r="33" spans="1:19" x14ac:dyDescent="0.25">
      <c r="A33" s="62">
        <v>28</v>
      </c>
      <c r="B33" s="61">
        <v>604</v>
      </c>
      <c r="C33" s="60">
        <v>1.9400000000000001E-2</v>
      </c>
      <c r="D33" s="70">
        <v>1974</v>
      </c>
      <c r="E33" s="57">
        <f>+$E$2*C33</f>
        <v>1150.0521760000001</v>
      </c>
      <c r="G33" s="57">
        <f>+$G$2*C33</f>
        <v>719.16285000000005</v>
      </c>
      <c r="I33" s="57">
        <f>+$I$2*C33</f>
        <v>1164</v>
      </c>
      <c r="K33" s="57">
        <f>+$K$2*$C33</f>
        <v>1164</v>
      </c>
      <c r="M33" s="57">
        <f>+$M$2*$C33</f>
        <v>1164</v>
      </c>
      <c r="N33" s="66">
        <f>+M33</f>
        <v>1164</v>
      </c>
      <c r="O33" s="57">
        <f>+$O$2*$C33</f>
        <v>1164</v>
      </c>
      <c r="P33" s="72">
        <f>+O33</f>
        <v>1164</v>
      </c>
      <c r="Q33" s="57">
        <f>+$Q$2*$C33</f>
        <v>1164</v>
      </c>
      <c r="S33" s="57">
        <f>+$S$2*$C33</f>
        <v>1282.017378</v>
      </c>
    </row>
    <row r="34" spans="1:19" x14ac:dyDescent="0.25">
      <c r="A34" s="62">
        <v>29</v>
      </c>
      <c r="B34" s="61">
        <v>701</v>
      </c>
      <c r="C34" s="60">
        <v>2.7900000000000001E-2</v>
      </c>
      <c r="E34" s="57">
        <f>+$E$2*C34</f>
        <v>1653.941016</v>
      </c>
      <c r="F34" s="73">
        <f>+E34</f>
        <v>1653.941016</v>
      </c>
      <c r="G34" s="57">
        <f>+$G$2*C34</f>
        <v>1034.2599749999999</v>
      </c>
      <c r="I34" s="57">
        <f>+$I$2*C34</f>
        <v>1674</v>
      </c>
      <c r="K34" s="57">
        <f>+$K$2*$C34</f>
        <v>1674</v>
      </c>
      <c r="M34" s="57">
        <f>+$M$2*$C34</f>
        <v>1674</v>
      </c>
      <c r="O34" s="57">
        <f>+$O$2*$C34</f>
        <v>1674</v>
      </c>
      <c r="Q34" s="57">
        <f>+$Q$2*$C34</f>
        <v>1674</v>
      </c>
      <c r="S34" s="57">
        <f>+$S$2*$C34</f>
        <v>1843.7260229999999</v>
      </c>
    </row>
    <row r="35" spans="1:19" x14ac:dyDescent="0.25">
      <c r="A35" s="62">
        <v>30</v>
      </c>
      <c r="B35" s="61">
        <v>702</v>
      </c>
      <c r="C35" s="60">
        <v>2.81E-2</v>
      </c>
      <c r="E35" s="57">
        <f>+$E$2*C35</f>
        <v>1665.7972239999999</v>
      </c>
      <c r="F35" s="73">
        <f>+E35</f>
        <v>1665.7972239999999</v>
      </c>
      <c r="G35" s="57">
        <f>+$G$2*C35</f>
        <v>1041.674025</v>
      </c>
      <c r="I35" s="57">
        <f>+$I$2*C35</f>
        <v>1686</v>
      </c>
      <c r="K35" s="57">
        <f>+$K$2*$C35</f>
        <v>1686</v>
      </c>
      <c r="M35" s="57">
        <f>+$M$2*$C35</f>
        <v>1686</v>
      </c>
      <c r="O35" s="57">
        <f>+$O$2*$C35</f>
        <v>1686</v>
      </c>
      <c r="Q35" s="57">
        <f>+$Q$2*$C35</f>
        <v>1686</v>
      </c>
      <c r="S35" s="57">
        <f>+$S$2*$C35</f>
        <v>1856.942697</v>
      </c>
    </row>
    <row r="36" spans="1:19" x14ac:dyDescent="0.25">
      <c r="A36" s="62">
        <v>31</v>
      </c>
      <c r="B36" s="61">
        <v>703</v>
      </c>
      <c r="C36" s="60">
        <v>2.4400000000000002E-2</v>
      </c>
      <c r="E36" s="57">
        <f>+$E$2*C36</f>
        <v>1446.4573760000001</v>
      </c>
      <c r="G36" s="57">
        <f>+$G$2*C36</f>
        <v>904.5141000000001</v>
      </c>
      <c r="I36" s="57">
        <f>+$I$2*C36</f>
        <v>1464</v>
      </c>
      <c r="K36" s="57">
        <f>+$K$2*$C36</f>
        <v>1464</v>
      </c>
      <c r="M36" s="57">
        <f>+$M$2*$C36</f>
        <v>1464</v>
      </c>
      <c r="O36" s="57">
        <f>+$O$2*$C36</f>
        <v>1464</v>
      </c>
      <c r="Q36" s="57">
        <f>+$Q$2*$C36</f>
        <v>1464</v>
      </c>
      <c r="S36" s="57">
        <f>+$S$2*$C36</f>
        <v>1612.4342280000001</v>
      </c>
    </row>
    <row r="37" spans="1:19" x14ac:dyDescent="0.25">
      <c r="A37" s="62">
        <v>32</v>
      </c>
      <c r="B37" s="61">
        <v>704</v>
      </c>
      <c r="C37" s="60">
        <v>1.9400000000000001E-2</v>
      </c>
      <c r="D37" s="70">
        <v>940</v>
      </c>
      <c r="E37" s="57">
        <f>+$E$2*C37</f>
        <v>1150.0521760000001</v>
      </c>
      <c r="F37" s="73">
        <f>+E37</f>
        <v>1150.0521760000001</v>
      </c>
      <c r="G37" s="57">
        <f>+$G$2*C37</f>
        <v>719.16285000000005</v>
      </c>
      <c r="I37" s="57">
        <f>+$I$2*C37</f>
        <v>1164</v>
      </c>
      <c r="J37" s="67">
        <f>+I37</f>
        <v>1164</v>
      </c>
      <c r="K37" s="57">
        <f>+$K$2*$C37</f>
        <v>1164</v>
      </c>
      <c r="M37" s="57">
        <f>+$M$2*$C37</f>
        <v>1164</v>
      </c>
      <c r="O37" s="57">
        <f>+$O$2*$C37</f>
        <v>1164</v>
      </c>
      <c r="Q37" s="57">
        <f>+$Q$2*$C37</f>
        <v>1164</v>
      </c>
      <c r="S37" s="57">
        <f>+$S$2*$C37</f>
        <v>1282.017378</v>
      </c>
    </row>
    <row r="38" spans="1:19" x14ac:dyDescent="0.25">
      <c r="A38" s="62">
        <v>33</v>
      </c>
      <c r="B38" s="61">
        <v>801</v>
      </c>
      <c r="C38" s="60">
        <v>2.7900000000000001E-2</v>
      </c>
      <c r="D38" s="63">
        <v>2845</v>
      </c>
      <c r="E38" s="57">
        <f>+$E$2*C38</f>
        <v>1653.941016</v>
      </c>
      <c r="F38" s="63">
        <f>+E38</f>
        <v>1653.941016</v>
      </c>
      <c r="G38" s="57">
        <f>+$G$2*C38</f>
        <v>1034.2599749999999</v>
      </c>
      <c r="H38" s="58">
        <f>+G38+F38</f>
        <v>2688.2009909999997</v>
      </c>
      <c r="I38" s="57">
        <f>+$I$2*C38</f>
        <v>1674</v>
      </c>
      <c r="J38" s="58">
        <f>+H38+I38</f>
        <v>4362.2009909999997</v>
      </c>
      <c r="K38" s="57">
        <f>+$K$2*$C38</f>
        <v>1674</v>
      </c>
      <c r="L38" s="58">
        <f>+K38+J38</f>
        <v>6036.2009909999997</v>
      </c>
      <c r="M38" s="57">
        <f>+$M$2*$C38</f>
        <v>1674</v>
      </c>
      <c r="N38" s="58">
        <f>+M38+L38-F38</f>
        <v>6056.2599749999999</v>
      </c>
      <c r="O38" s="57">
        <f>+$O$2*$C38</f>
        <v>1674</v>
      </c>
      <c r="P38" s="72">
        <f>+O38+N38</f>
        <v>7730.2599749999999</v>
      </c>
      <c r="Q38" s="57">
        <f>+$Q$2*$C38</f>
        <v>1674</v>
      </c>
      <c r="S38" s="57">
        <f>+$S$2*$C38</f>
        <v>1843.7260229999999</v>
      </c>
    </row>
    <row r="39" spans="1:19" x14ac:dyDescent="0.25">
      <c r="A39" s="62">
        <v>34</v>
      </c>
      <c r="B39" s="61">
        <v>802</v>
      </c>
      <c r="C39" s="60">
        <v>2.81E-2</v>
      </c>
      <c r="E39" s="57">
        <f>+$E$2*C39</f>
        <v>1665.7972239999999</v>
      </c>
      <c r="G39" s="57">
        <f>+$G$2*C39</f>
        <v>1041.674025</v>
      </c>
      <c r="I39" s="57">
        <f>+$I$2*C39</f>
        <v>1686</v>
      </c>
      <c r="K39" s="57">
        <f>+$K$2*$C39</f>
        <v>1686</v>
      </c>
      <c r="M39" s="57">
        <f>+$M$2*$C39</f>
        <v>1686</v>
      </c>
      <c r="O39" s="57">
        <f>+$O$2*$C39</f>
        <v>1686</v>
      </c>
      <c r="Q39" s="57">
        <f>+$Q$2*$C39</f>
        <v>1686</v>
      </c>
      <c r="S39" s="57">
        <f>+$S$2*$C39</f>
        <v>1856.942697</v>
      </c>
    </row>
    <row r="40" spans="1:19" x14ac:dyDescent="0.25">
      <c r="A40" s="62">
        <v>35</v>
      </c>
      <c r="B40" s="61">
        <v>803</v>
      </c>
      <c r="C40" s="60">
        <v>2.4400000000000002E-2</v>
      </c>
      <c r="E40" s="57">
        <f>+$E$2*C40</f>
        <v>1446.4573760000001</v>
      </c>
      <c r="G40" s="57">
        <f>+$G$2*C40</f>
        <v>904.5141000000001</v>
      </c>
      <c r="H40" s="68">
        <f>+G40</f>
        <v>904.5141000000001</v>
      </c>
      <c r="I40" s="57">
        <f>+$I$2*C40</f>
        <v>1464</v>
      </c>
      <c r="K40" s="57">
        <f>+$K$2*$C40</f>
        <v>1464</v>
      </c>
      <c r="M40" s="57">
        <f>+$M$2*$C40</f>
        <v>1464</v>
      </c>
      <c r="O40" s="57">
        <f>+$O$2*$C40</f>
        <v>1464</v>
      </c>
      <c r="Q40" s="57">
        <f>+$Q$2*$C40</f>
        <v>1464</v>
      </c>
      <c r="S40" s="57">
        <f>+$S$2*$C40</f>
        <v>1612.4342280000001</v>
      </c>
    </row>
    <row r="41" spans="1:19" x14ac:dyDescent="0.25">
      <c r="A41" s="62">
        <v>36</v>
      </c>
      <c r="B41" s="61">
        <v>804</v>
      </c>
      <c r="C41" s="60">
        <v>1.9400000000000001E-2</v>
      </c>
      <c r="E41" s="57">
        <f>+$E$2*C41</f>
        <v>1150.0521760000001</v>
      </c>
      <c r="F41" s="73">
        <f>+E41</f>
        <v>1150.0521760000001</v>
      </c>
      <c r="G41" s="57">
        <f>+$G$2*C41</f>
        <v>719.16285000000005</v>
      </c>
      <c r="I41" s="57">
        <f>+$I$2*C41</f>
        <v>1164</v>
      </c>
      <c r="J41" s="67">
        <f>+I41</f>
        <v>1164</v>
      </c>
      <c r="K41" s="57">
        <f>+$K$2*$C41</f>
        <v>1164</v>
      </c>
      <c r="M41" s="57">
        <f>+$M$2*$C41</f>
        <v>1164</v>
      </c>
      <c r="N41" s="66">
        <f>+M41</f>
        <v>1164</v>
      </c>
      <c r="O41" s="57">
        <f>+$O$2*$C41</f>
        <v>1164</v>
      </c>
      <c r="P41" s="72">
        <f>+O41</f>
        <v>1164</v>
      </c>
      <c r="Q41" s="57">
        <f>+$Q$2*$C41</f>
        <v>1164</v>
      </c>
      <c r="S41" s="57">
        <f>+$S$2*$C41</f>
        <v>1282.017378</v>
      </c>
    </row>
    <row r="42" spans="1:19" x14ac:dyDescent="0.25">
      <c r="A42" s="62">
        <v>37</v>
      </c>
      <c r="B42" s="61">
        <v>901</v>
      </c>
      <c r="C42" s="60">
        <v>2.7900000000000001E-2</v>
      </c>
      <c r="E42" s="57">
        <f>+$E$2*C42</f>
        <v>1653.941016</v>
      </c>
      <c r="G42" s="57">
        <f>+$G$2*C42</f>
        <v>1034.2599749999999</v>
      </c>
      <c r="I42" s="57">
        <f>+$I$2*C42</f>
        <v>1674</v>
      </c>
      <c r="K42" s="57">
        <f>+$K$2*$C42</f>
        <v>1674</v>
      </c>
      <c r="M42" s="57">
        <f>+$M$2*$C42</f>
        <v>1674</v>
      </c>
      <c r="O42" s="57">
        <f>+$O$2*$C42</f>
        <v>1674</v>
      </c>
      <c r="Q42" s="57">
        <f>+$Q$2*$C42</f>
        <v>1674</v>
      </c>
      <c r="S42" s="57">
        <f>+$S$2*$C42</f>
        <v>1843.7260229999999</v>
      </c>
    </row>
    <row r="43" spans="1:19" x14ac:dyDescent="0.25">
      <c r="A43" s="62">
        <v>38</v>
      </c>
      <c r="B43" s="61">
        <v>902</v>
      </c>
      <c r="C43" s="60">
        <v>2.81E-2</v>
      </c>
      <c r="E43" s="57">
        <f>+$E$2*C43</f>
        <v>1665.7972239999999</v>
      </c>
      <c r="G43" s="57">
        <f>+$G$2*C43</f>
        <v>1041.674025</v>
      </c>
      <c r="I43" s="57">
        <f>+$I$2*C43</f>
        <v>1686</v>
      </c>
      <c r="K43" s="57">
        <f>+$K$2*$C43</f>
        <v>1686</v>
      </c>
      <c r="M43" s="57">
        <f>+$M$2*$C43</f>
        <v>1686</v>
      </c>
      <c r="O43" s="57">
        <f>+$O$2*$C43</f>
        <v>1686</v>
      </c>
      <c r="Q43" s="57">
        <f>+$Q$2*$C43</f>
        <v>1686</v>
      </c>
      <c r="S43" s="57">
        <f>+$S$2*$C43</f>
        <v>1856.942697</v>
      </c>
    </row>
    <row r="44" spans="1:19" x14ac:dyDescent="0.25">
      <c r="A44" s="62">
        <v>39</v>
      </c>
      <c r="B44" s="61">
        <v>903</v>
      </c>
      <c r="C44" s="60">
        <v>2.4400000000000002E-2</v>
      </c>
      <c r="E44" s="57">
        <f>+$E$2*C44</f>
        <v>1446.4573760000001</v>
      </c>
      <c r="G44" s="57">
        <f>+$G$2*C44</f>
        <v>904.5141000000001</v>
      </c>
      <c r="I44" s="57">
        <f>+$I$2*C44</f>
        <v>1464</v>
      </c>
      <c r="K44" s="57">
        <f>+$K$2*$C44</f>
        <v>1464</v>
      </c>
      <c r="M44" s="57">
        <f>+$M$2*$C44</f>
        <v>1464</v>
      </c>
      <c r="O44" s="57">
        <f>+$O$2*$C44</f>
        <v>1464</v>
      </c>
      <c r="Q44" s="57">
        <f>+$Q$2*$C44</f>
        <v>1464</v>
      </c>
      <c r="S44" s="57">
        <f>+$S$2*$C44</f>
        <v>1612.4342280000001</v>
      </c>
    </row>
    <row r="45" spans="1:19" x14ac:dyDescent="0.25">
      <c r="A45" s="62">
        <v>40</v>
      </c>
      <c r="B45" s="61">
        <v>904</v>
      </c>
      <c r="C45" s="60">
        <v>1.9400000000000001E-2</v>
      </c>
      <c r="D45" s="67">
        <v>940</v>
      </c>
      <c r="E45" s="57">
        <f>+$E$2*C45</f>
        <v>1150.0521760000001</v>
      </c>
      <c r="F45" s="58">
        <f>+E45</f>
        <v>1150.0521760000001</v>
      </c>
      <c r="G45" s="57">
        <f>+$G$2*C45</f>
        <v>719.16285000000005</v>
      </c>
      <c r="H45" s="58">
        <f>+G45+F45</f>
        <v>1869.2150260000003</v>
      </c>
      <c r="I45" s="57">
        <f>+$I$2*C45</f>
        <v>1164</v>
      </c>
      <c r="J45" s="67">
        <f>+H45+I45</f>
        <v>3033.2150260000003</v>
      </c>
      <c r="K45" s="57">
        <f>+$K$2*$C45</f>
        <v>1164</v>
      </c>
      <c r="M45" s="57">
        <f>+$M$2*$C45</f>
        <v>1164</v>
      </c>
      <c r="O45" s="57">
        <f>+$O$2*$C45</f>
        <v>1164</v>
      </c>
      <c r="Q45" s="57">
        <f>+$Q$2*$C45</f>
        <v>1164</v>
      </c>
      <c r="S45" s="57">
        <f>+$S$2*$C45</f>
        <v>1282.017378</v>
      </c>
    </row>
    <row r="47" spans="1:19" x14ac:dyDescent="0.25">
      <c r="B47" s="71" t="s">
        <v>102</v>
      </c>
      <c r="F47" s="70">
        <f>+D21+D27+D33+D37</f>
        <v>5209</v>
      </c>
      <c r="H47" s="69">
        <f>+D11+D18+D28</f>
        <v>12834</v>
      </c>
      <c r="J47" s="68"/>
      <c r="L47" s="67">
        <f>+D49+D45+D22</f>
        <v>4995</v>
      </c>
      <c r="N47" s="63">
        <f>+D52+D38</f>
        <v>6645</v>
      </c>
      <c r="P47" s="66">
        <f>+D25+D50</f>
        <v>21488</v>
      </c>
    </row>
    <row r="48" spans="1:19" x14ac:dyDescent="0.25">
      <c r="B48" s="64">
        <v>301</v>
      </c>
      <c r="D48" s="59">
        <v>3800</v>
      </c>
    </row>
    <row r="49" spans="2:8" x14ac:dyDescent="0.25">
      <c r="B49" s="61">
        <v>304</v>
      </c>
      <c r="D49" s="67">
        <v>2700</v>
      </c>
      <c r="H49" s="65"/>
    </row>
    <row r="50" spans="2:8" x14ac:dyDescent="0.25">
      <c r="B50" s="61">
        <v>404</v>
      </c>
      <c r="D50" s="66">
        <v>3800</v>
      </c>
      <c r="H50" s="65"/>
    </row>
    <row r="51" spans="2:8" x14ac:dyDescent="0.25">
      <c r="B51" s="64">
        <v>601</v>
      </c>
      <c r="D51" s="59">
        <v>3800</v>
      </c>
    </row>
    <row r="52" spans="2:8" x14ac:dyDescent="0.25">
      <c r="B52" s="61">
        <v>801</v>
      </c>
      <c r="D52" s="63">
        <v>3800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detalle expensas</vt:lpstr>
      <vt:lpstr>CAJA(según planillas)</vt:lpstr>
      <vt:lpstr>DEUDORES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Suc. Rosario - Vicente Walter</dc:creator>
  <cp:lastModifiedBy>Admin</cp:lastModifiedBy>
  <cp:lastPrinted>2020-08-06T17:18:25Z</cp:lastPrinted>
  <dcterms:created xsi:type="dcterms:W3CDTF">2020-05-08T17:47:36Z</dcterms:created>
  <dcterms:modified xsi:type="dcterms:W3CDTF">2020-10-07T21:22:25Z</dcterms:modified>
</cp:coreProperties>
</file>