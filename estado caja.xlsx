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120" windowWidth="19980" windowHeight="8070"/>
  </bookViews>
  <sheets>
    <sheet name="Hoja1" sheetId="1" r:id="rId1"/>
    <sheet name="Hoja2" sheetId="2" r:id="rId2"/>
    <sheet name="Hoja3" sheetId="3" r:id="rId3"/>
  </sheets>
  <calcPr calcId="145621"/>
</workbook>
</file>

<file path=xl/calcChain.xml><?xml version="1.0" encoding="utf-8"?>
<calcChain xmlns="http://schemas.openxmlformats.org/spreadsheetml/2006/main">
  <c r="D46" i="1" l="1"/>
  <c r="C45" i="1"/>
  <c r="C37" i="1" l="1"/>
  <c r="D38" i="1" s="1"/>
  <c r="C25" i="1" l="1"/>
  <c r="C17" i="1"/>
  <c r="C9" i="1"/>
  <c r="D6" i="1" l="1"/>
  <c r="D14" i="1"/>
  <c r="D22" i="1"/>
  <c r="D30" i="1"/>
</calcChain>
</file>

<file path=xl/sharedStrings.xml><?xml version="1.0" encoding="utf-8"?>
<sst xmlns="http://schemas.openxmlformats.org/spreadsheetml/2006/main" count="47" uniqueCount="14">
  <si>
    <t>GASTOS</t>
  </si>
  <si>
    <t>OTROS GASTOS</t>
  </si>
  <si>
    <t>DEUDORES</t>
  </si>
  <si>
    <t>SALDO ANTERIOR</t>
  </si>
  <si>
    <t>SALDO</t>
  </si>
  <si>
    <t>FEBRERO</t>
  </si>
  <si>
    <t>MARZO</t>
  </si>
  <si>
    <t>ABRIL</t>
  </si>
  <si>
    <t>MAYO</t>
  </si>
  <si>
    <t>F.F.</t>
  </si>
  <si>
    <t>JUNIO</t>
  </si>
  <si>
    <t>DISPONIBILIDAD</t>
  </si>
  <si>
    <t>DISPONIBIILDAD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</si>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</sst>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[$$-2C0A]\ #,##0.00"/>
    <numFmt numFmtId="165" formatCode="_ [$$-2C0A]\ * #,##0.00_ ;_ [$$-2C0A]\ * \-#,##0.00_ ;_ [$$-2C0A]\ * &quot;-&quot;??_ ;_ @_ 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164" fontId="0" fillId="0" borderId="0" xfId="0" applyNumberFormat="1"/>
    <xf numFmtId="0" fontId="1" fillId="2" borderId="0" xfId="0" applyFont="1" applyFill="1"/>
    <xf numFmtId="164" fontId="1" fillId="2" borderId="0" xfId="0" applyNumberFormat="1" applyFont="1" applyFill="1"/>
    <xf numFmtId="164" fontId="1" fillId="0" borderId="0" xfId="0" applyNumberFormat="1" applyFont="1" applyFill="1"/>
    <xf numFmtId="0" fontId="2" fillId="0" borderId="0" xfId="0" applyFont="1" applyAlignment="1"/>
    <xf numFmtId="164" fontId="1" fillId="2" borderId="0" xfId="0" applyNumberFormat="1" applyFont="1" applyFill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Fill="1" applyAlignment="1">
      <alignment horizontal="center"/>
    </xf>
    <xf numFmtId="0" fontId="3" fillId="0" borderId="0" xfId="0" applyFont="1" applyFill="1" applyAlignment="1">
      <alignment horizontal="center"/>
    </xf>
    <xf numFmtId="164" fontId="3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Fill="1"/>
    <xf numFmtId="0" fontId="1" fillId="0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center"/>
    </xf>
    <xf numFmtId="165" fontId="0" fillId="0" borderId="0" xfId="0" applyNumberFormat="1"/>
    <xf numFmtId="165" fontId="1" fillId="2" borderId="0" xfId="0" applyNumberFormat="1" applyFont="1" applyFill="1"/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50</xdr:row>
      <xdr:rowOff>76200</xdr:rowOff>
    </xdr:from>
    <xdr:to>
      <xdr:col>5</xdr:col>
      <xdr:colOff>552450</xdr:colOff>
      <xdr:row>68</xdr:row>
      <xdr:rowOff>152399</xdr:rowOff>
    </xdr:to>
    <xdr:sp macro="" textlink="">
      <xdr:nvSpPr>
        <xdr:cNvPr id="15" name="14 CuadroTexto"/>
        <xdr:cNvSpPr txBox="1"/>
      </xdr:nvSpPr>
      <xdr:spPr>
        <a:xfrm>
          <a:off x="0" y="9982200"/>
          <a:ext cx="5314950" cy="3505199"/>
        </a:xfrm>
        <a:prstGeom prst="rect">
          <a:avLst/>
        </a:prstGeom>
        <a:solidFill>
          <a:schemeClr val="lt1"/>
        </a:solidFill>
        <a:ln w="1587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1" u="sng"/>
            <a:t>OTRAS OBSERVACIONES:</a:t>
          </a:r>
        </a:p>
        <a:p>
          <a:endParaRPr lang="es-ES" sz="1100"/>
        </a:p>
        <a:p>
          <a:r>
            <a:rPr lang="es-ES" sz="1100"/>
            <a:t>1) En expensas de abril, </a:t>
          </a:r>
          <a:r>
            <a:rPr lang="es-ES" sz="1100" baseline="0"/>
            <a:t>mayo ,junio y julio </a:t>
          </a:r>
          <a:r>
            <a:rPr lang="es-ES" sz="1100"/>
            <a:t>colocan detalle del motivo de GASTOS PAGADOS AL 30/04/20 $3939,82, 29/05/20 $ 8064,52, 30/06/20 $ 4892,52 y 31/07/20 $ 3804,12 y al mismo tiempo figura en el cuadro CONCEPTO DE GASTOS, este  gasto lo </a:t>
          </a:r>
          <a:r>
            <a:rPr lang="es-ES" sz="1100" baseline="0"/>
            <a:t> estamos pagando dos  veces. </a:t>
          </a:r>
          <a:r>
            <a:rPr lang="es-ES" sz="1100" b="1" baseline="0"/>
            <a:t>(Total $ 20700,98)</a:t>
          </a:r>
          <a:br>
            <a:rPr lang="es-ES" sz="1100" b="1" baseline="0"/>
          </a:br>
          <a:r>
            <a:rPr lang="es-ES" sz="1100" baseline="0"/>
            <a:t>Sería interesante saber si los meses anteriores pasó lo mismo Febrero ($ 4290,86) y Marzo ($ 3300,57) </a:t>
          </a:r>
          <a:r>
            <a:rPr lang="es-ES" sz="1100" b="1" baseline="0"/>
            <a:t>= $ 7591,43 </a:t>
          </a:r>
          <a:r>
            <a:rPr lang="es-ES" sz="1100"/>
            <a:t/>
          </a:r>
          <a:br>
            <a:rPr lang="es-ES" sz="1100"/>
          </a:br>
          <a:r>
            <a:rPr lang="es-ES" sz="1100"/>
            <a:t/>
          </a:r>
          <a:br>
            <a:rPr lang="es-ES" sz="1100"/>
          </a:br>
          <a:r>
            <a:rPr lang="es-ES" sz="1100"/>
            <a:t>2)</a:t>
          </a:r>
          <a:r>
            <a:rPr lang="es-ES" sz="1100" baseline="0"/>
            <a:t> No figura en SALDO ANTERIOR (el que pasó la anterior Administracion) las cobranzas que hicieron a los departamentos 01-02 ($ 1354), 05-03 ($ 1170), 03-01 ($ 10310), 04-01 ($ 1355), 09-04 ($ 940), 03-04 ($ 2700), 08-01 ($ 6645) y 04-04 ($ 21488).</a:t>
          </a:r>
          <a:br>
            <a:rPr lang="es-ES" sz="1100" baseline="0"/>
          </a:br>
          <a:r>
            <a:rPr lang="es-ES" sz="1100" b="1" baseline="0"/>
            <a:t>Estas cobranzas representan $ 45962 y tampoco figura lo que se ha ido cobrando de los convenios de pago</a:t>
          </a:r>
        </a:p>
        <a:p>
          <a:endParaRPr lang="es-ES" sz="1100" b="1" baseline="0"/>
        </a:p>
        <a:p>
          <a:r>
            <a:rPr lang="es-ES" sz="1100" b="0" baseline="0"/>
            <a:t>3) Tampoco se conocen lo intereses que fueron cobrados a los deudores morosos</a:t>
          </a:r>
        </a:p>
        <a:p>
          <a:endParaRPr lang="es-ES" sz="1100" b="0" baseline="0"/>
        </a:p>
        <a:p>
          <a:pPr algn="ctr"/>
          <a:r>
            <a:rPr lang="es-ES" sz="1600" b="1" u="sng" baseline="0"/>
            <a:t>Sumando los tres totales indicados son $ 74254,41</a:t>
          </a:r>
        </a:p>
      </xdr:txBody>
    </xdr:sp>
    <xdr:clientData/>
  </xdr:twoCellAnchor>
  <xdr:twoCellAnchor>
    <xdr:from>
      <xdr:col>4</xdr:col>
      <xdr:colOff>95250</xdr:colOff>
      <xdr:row>30</xdr:row>
      <xdr:rowOff>0</xdr:rowOff>
    </xdr:from>
    <xdr:to>
      <xdr:col>10</xdr:col>
      <xdr:colOff>76200</xdr:colOff>
      <xdr:row>37</xdr:row>
      <xdr:rowOff>171449</xdr:rowOff>
    </xdr:to>
    <xdr:sp macro="" textlink="">
      <xdr:nvSpPr>
        <xdr:cNvPr id="2" name="1 CuadroTexto"/>
        <xdr:cNvSpPr txBox="1"/>
      </xdr:nvSpPr>
      <xdr:spPr>
        <a:xfrm>
          <a:off x="4095750" y="5981700"/>
          <a:ext cx="4552950" cy="1562099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" sz="1100" b="1"/>
            <a:t>MODO DE CALCULO:</a:t>
          </a:r>
        </a:p>
        <a:p>
          <a:endParaRPr lang="es-ES" sz="1100"/>
        </a:p>
        <a:p>
          <a:r>
            <a:rPr lang="es-ES" sz="1100" b="1"/>
            <a:t>DISPONIBILIDAD</a:t>
          </a:r>
          <a:r>
            <a:rPr lang="es-ES" sz="1100"/>
            <a:t> = SALDO ANTERIOR - DEUDORES - OTROS GASTOS</a:t>
          </a:r>
        </a:p>
        <a:p>
          <a:endParaRPr lang="es-ES" sz="1100"/>
        </a:p>
        <a:p>
          <a:r>
            <a:rPr lang="es-ES" sz="1100" b="1"/>
            <a:t>F.F</a:t>
          </a:r>
          <a:r>
            <a:rPr lang="es-ES" sz="1100"/>
            <a:t>. = SUMATORIA DE TODOS LOS VALORES DE F.F. QUE FIGURAN EN EL FRENTE DE EXPENSAS</a:t>
          </a:r>
        </a:p>
        <a:p>
          <a:endParaRPr lang="es-ES" sz="1100"/>
        </a:p>
        <a:p>
          <a:r>
            <a:rPr lang="es-ES" sz="1100" b="1"/>
            <a:t>SALDO</a:t>
          </a:r>
          <a:r>
            <a:rPr lang="es-ES" sz="1100" baseline="0"/>
            <a:t> = DISPONIBILIDAD + F.F.</a:t>
          </a:r>
          <a:endParaRPr lang="es-ES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6"/>
  <sheetViews>
    <sheetView tabSelected="1" topLeftCell="A49" workbookViewId="0">
      <selection activeCell="I43" sqref="I43"/>
    </sheetView>
  </sheetViews>
  <sheetFormatPr baseColWidth="10" defaultRowHeight="15" x14ac:dyDescent="0.25"/>
  <cols>
    <col min="1" max="1" width="11.42578125" style="12"/>
    <col min="2" max="2" width="16.42578125" bestFit="1" customWidth="1"/>
    <col min="3" max="3" width="15.7109375" customWidth="1"/>
    <col min="4" max="4" width="16.42578125" bestFit="1" customWidth="1"/>
  </cols>
  <sheetData>
    <row r="1" spans="1:5" ht="18.75" x14ac:dyDescent="0.3">
      <c r="A1" s="20" t="s">
        <v>5</v>
      </c>
      <c r="B1" s="20"/>
      <c r="C1" s="20"/>
      <c r="D1" s="5"/>
      <c r="E1" s="5"/>
    </row>
    <row r="2" spans="1:5" x14ac:dyDescent="0.25">
      <c r="B2" t="s">
        <v>0</v>
      </c>
      <c r="C2" s="1">
        <v>27070.25</v>
      </c>
      <c r="E2" s="1"/>
    </row>
    <row r="3" spans="1:5" x14ac:dyDescent="0.25">
      <c r="B3" t="s">
        <v>1</v>
      </c>
      <c r="C3" s="1">
        <v>4290.8599999999997</v>
      </c>
      <c r="E3" s="1"/>
    </row>
    <row r="4" spans="1:5" x14ac:dyDescent="0.25">
      <c r="B4" t="s">
        <v>2</v>
      </c>
      <c r="C4" s="1">
        <v>22455.65</v>
      </c>
      <c r="E4" s="1"/>
    </row>
    <row r="5" spans="1:5" ht="15.75" x14ac:dyDescent="0.25">
      <c r="B5" t="s">
        <v>3</v>
      </c>
      <c r="C5" s="1">
        <v>46336</v>
      </c>
      <c r="D5" s="7" t="s">
        <v>4</v>
      </c>
      <c r="E5" s="1"/>
    </row>
    <row r="6" spans="1:5" ht="15.75" x14ac:dyDescent="0.25">
      <c r="A6" s="13"/>
      <c r="B6" s="11" t="s">
        <v>11</v>
      </c>
      <c r="C6" s="3">
        <v>19589.490000000002</v>
      </c>
      <c r="D6" s="8">
        <f>+C6</f>
        <v>19589.490000000002</v>
      </c>
      <c r="E6" s="4"/>
    </row>
    <row r="7" spans="1:5" x14ac:dyDescent="0.25">
      <c r="C7" s="1"/>
      <c r="E7" s="1"/>
    </row>
    <row r="8" spans="1:5" ht="18.75" x14ac:dyDescent="0.3">
      <c r="A8" s="20" t="s">
        <v>6</v>
      </c>
      <c r="B8" s="20"/>
      <c r="C8" s="20"/>
      <c r="D8" s="5"/>
      <c r="E8" s="5"/>
    </row>
    <row r="9" spans="1:5" x14ac:dyDescent="0.25">
      <c r="B9" t="s">
        <v>0</v>
      </c>
      <c r="C9" s="1">
        <f>60000-12303.14</f>
        <v>47696.86</v>
      </c>
      <c r="E9" s="1"/>
    </row>
    <row r="10" spans="1:5" x14ac:dyDescent="0.25">
      <c r="B10" t="s">
        <v>1</v>
      </c>
      <c r="C10" s="1">
        <v>3300.57</v>
      </c>
      <c r="E10" s="1"/>
    </row>
    <row r="11" spans="1:5" x14ac:dyDescent="0.25">
      <c r="B11" t="s">
        <v>2</v>
      </c>
      <c r="C11" s="1">
        <v>16994.7</v>
      </c>
      <c r="E11" s="1"/>
    </row>
    <row r="12" spans="1:5" x14ac:dyDescent="0.25">
      <c r="B12" t="s">
        <v>3</v>
      </c>
      <c r="C12" s="1">
        <v>46336</v>
      </c>
      <c r="E12" s="1"/>
    </row>
    <row r="13" spans="1:5" ht="15.75" x14ac:dyDescent="0.25">
      <c r="A13" s="13"/>
      <c r="B13" s="11" t="s">
        <v>12</v>
      </c>
      <c r="C13" s="3">
        <v>26040.73</v>
      </c>
      <c r="D13" s="9" t="s">
        <v>4</v>
      </c>
      <c r="E13" s="4"/>
    </row>
    <row r="14" spans="1:5" ht="15.75" x14ac:dyDescent="0.25">
      <c r="A14" s="14"/>
      <c r="B14" s="2" t="s">
        <v>9</v>
      </c>
      <c r="C14" s="6">
        <v>10000</v>
      </c>
      <c r="D14" s="10">
        <f>+C13+C14</f>
        <v>36040.729999999996</v>
      </c>
    </row>
    <row r="16" spans="1:5" ht="18.75" x14ac:dyDescent="0.3">
      <c r="A16" s="20" t="s">
        <v>7</v>
      </c>
      <c r="B16" s="20"/>
      <c r="C16" s="20"/>
      <c r="D16" s="5"/>
      <c r="E16" s="5"/>
    </row>
    <row r="17" spans="1:5" x14ac:dyDescent="0.25">
      <c r="B17" t="s">
        <v>0</v>
      </c>
      <c r="C17" s="1">
        <f>60000-15609.35</f>
        <v>44390.65</v>
      </c>
      <c r="E17" s="1"/>
    </row>
    <row r="18" spans="1:5" x14ac:dyDescent="0.25">
      <c r="B18" t="s">
        <v>1</v>
      </c>
      <c r="C18" s="1">
        <v>3939.82</v>
      </c>
      <c r="E18" s="1"/>
    </row>
    <row r="19" spans="1:5" x14ac:dyDescent="0.25">
      <c r="B19" t="s">
        <v>2</v>
      </c>
      <c r="C19" s="1">
        <v>33249.49</v>
      </c>
      <c r="E19" s="1"/>
    </row>
    <row r="20" spans="1:5" x14ac:dyDescent="0.25">
      <c r="B20" t="s">
        <v>3</v>
      </c>
      <c r="C20" s="1">
        <v>46336</v>
      </c>
      <c r="E20" s="1"/>
    </row>
    <row r="21" spans="1:5" ht="15.75" x14ac:dyDescent="0.25">
      <c r="A21" s="13"/>
      <c r="B21" s="11" t="s">
        <v>11</v>
      </c>
      <c r="C21" s="3">
        <v>9146.69</v>
      </c>
      <c r="D21" s="9" t="s">
        <v>4</v>
      </c>
      <c r="E21" s="4"/>
    </row>
    <row r="22" spans="1:5" ht="15.75" x14ac:dyDescent="0.25">
      <c r="A22" s="14"/>
      <c r="B22" s="2" t="s">
        <v>9</v>
      </c>
      <c r="C22" s="3">
        <v>22303.14</v>
      </c>
      <c r="D22" s="10">
        <f>+C22+C21</f>
        <v>31449.83</v>
      </c>
      <c r="E22" s="1"/>
    </row>
    <row r="24" spans="1:5" ht="18.75" x14ac:dyDescent="0.3">
      <c r="A24" s="20" t="s">
        <v>8</v>
      </c>
      <c r="B24" s="20"/>
      <c r="C24" s="20"/>
      <c r="D24" s="5"/>
      <c r="E24" s="5"/>
    </row>
    <row r="25" spans="1:5" x14ac:dyDescent="0.25">
      <c r="B25" t="s">
        <v>0</v>
      </c>
      <c r="C25" s="1">
        <f>60000-5958.81</f>
        <v>54041.19</v>
      </c>
      <c r="E25" s="1"/>
    </row>
    <row r="26" spans="1:5" x14ac:dyDescent="0.25">
      <c r="B26" t="s">
        <v>1</v>
      </c>
      <c r="C26" s="1">
        <v>8064.52</v>
      </c>
      <c r="E26" s="1"/>
    </row>
    <row r="27" spans="1:5" x14ac:dyDescent="0.25">
      <c r="B27" t="s">
        <v>2</v>
      </c>
      <c r="C27" s="1">
        <v>21909.91</v>
      </c>
      <c r="E27" s="1"/>
    </row>
    <row r="28" spans="1:5" x14ac:dyDescent="0.25">
      <c r="B28" t="s">
        <v>3</v>
      </c>
      <c r="C28" s="1">
        <v>46336</v>
      </c>
      <c r="E28" s="1"/>
    </row>
    <row r="29" spans="1:5" ht="15.75" x14ac:dyDescent="0.25">
      <c r="A29" s="14"/>
      <c r="B29" s="2" t="s">
        <v>11</v>
      </c>
      <c r="C29" s="3">
        <v>16361.57</v>
      </c>
      <c r="D29" s="9" t="s">
        <v>4</v>
      </c>
      <c r="E29" s="4"/>
    </row>
    <row r="30" spans="1:5" ht="15.75" x14ac:dyDescent="0.25">
      <c r="A30" s="14"/>
      <c r="B30" s="2" t="s">
        <v>9</v>
      </c>
      <c r="C30" s="3">
        <v>37912.49</v>
      </c>
      <c r="D30" s="10">
        <f>+C30+C29</f>
        <v>54274.06</v>
      </c>
    </row>
    <row r="32" spans="1:5" ht="18.75" x14ac:dyDescent="0.3">
      <c r="A32" s="20" t="s">
        <v>10</v>
      </c>
      <c r="B32" s="20"/>
      <c r="C32" s="20"/>
    </row>
    <row r="33" spans="1:5" x14ac:dyDescent="0.25">
      <c r="B33" t="s">
        <v>0</v>
      </c>
      <c r="C33" s="1">
        <v>49440.97</v>
      </c>
    </row>
    <row r="34" spans="1:5" x14ac:dyDescent="0.25">
      <c r="B34" t="s">
        <v>1</v>
      </c>
      <c r="C34" s="1">
        <v>4892.5200000000004</v>
      </c>
    </row>
    <row r="35" spans="1:5" x14ac:dyDescent="0.25">
      <c r="B35" t="s">
        <v>2</v>
      </c>
      <c r="C35" s="1">
        <v>21570.39</v>
      </c>
    </row>
    <row r="36" spans="1:5" x14ac:dyDescent="0.25">
      <c r="B36" t="s">
        <v>3</v>
      </c>
      <c r="C36" s="1">
        <v>46336</v>
      </c>
    </row>
    <row r="37" spans="1:5" ht="15.75" x14ac:dyDescent="0.25">
      <c r="B37" s="2" t="s">
        <v>11</v>
      </c>
      <c r="C37" s="3">
        <f>+C36-C34-C35</f>
        <v>19873.089999999997</v>
      </c>
      <c r="D37" s="7" t="s">
        <v>4</v>
      </c>
    </row>
    <row r="38" spans="1:5" ht="15.75" x14ac:dyDescent="0.25">
      <c r="B38" s="2" t="s">
        <v>9</v>
      </c>
      <c r="C38" s="3">
        <v>43871.3</v>
      </c>
      <c r="D38" s="10">
        <f>+C37+C38</f>
        <v>63744.39</v>
      </c>
      <c r="E38" s="1"/>
    </row>
    <row r="40" spans="1:5" ht="18.75" x14ac:dyDescent="0.3">
      <c r="A40" s="19" t="s">
        <v>13</v>
      </c>
      <c r="B40" s="19"/>
      <c r="C40" s="19"/>
    </row>
    <row r="41" spans="1:5" x14ac:dyDescent="0.25">
      <c r="B41" t="s">
        <v>0</v>
      </c>
      <c r="C41" s="17">
        <v>45868.57</v>
      </c>
    </row>
    <row r="42" spans="1:5" x14ac:dyDescent="0.25">
      <c r="B42" t="s">
        <v>1</v>
      </c>
      <c r="C42" s="17">
        <v>3804.12</v>
      </c>
    </row>
    <row r="43" spans="1:5" x14ac:dyDescent="0.25">
      <c r="B43" t="s">
        <v>2</v>
      </c>
      <c r="C43" s="17">
        <v>20222.259999999998</v>
      </c>
    </row>
    <row r="44" spans="1:5" x14ac:dyDescent="0.25">
      <c r="B44" t="s">
        <v>3</v>
      </c>
      <c r="C44" s="17">
        <v>46336</v>
      </c>
    </row>
    <row r="45" spans="1:5" x14ac:dyDescent="0.25">
      <c r="B45" s="2" t="s">
        <v>11</v>
      </c>
      <c r="C45" s="18">
        <f>+C44-C42-C43</f>
        <v>22309.62</v>
      </c>
      <c r="D45" s="15" t="s">
        <v>4</v>
      </c>
    </row>
    <row r="46" spans="1:5" x14ac:dyDescent="0.25">
      <c r="B46" s="2" t="s">
        <v>9</v>
      </c>
      <c r="C46" s="18">
        <v>54430.33</v>
      </c>
      <c r="D46" s="16">
        <f>+C45+C46</f>
        <v>76739.95</v>
      </c>
    </row>
  </sheetData>
  <mergeCells count="6">
    <mergeCell ref="A40:C40"/>
    <mergeCell ref="A32:C32"/>
    <mergeCell ref="A1:C1"/>
    <mergeCell ref="A24:C24"/>
    <mergeCell ref="A16:C16"/>
    <mergeCell ref="A8:C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Suc. Rosario - Vicente Walter</dc:creator>
  <cp:lastModifiedBy>Suc. Rosario - Vicente Walter</cp:lastModifiedBy>
  <cp:lastPrinted>2020-08-06T17:18:25Z</cp:lastPrinted>
  <dcterms:created xsi:type="dcterms:W3CDTF">2020-05-08T17:47:36Z</dcterms:created>
  <dcterms:modified xsi:type="dcterms:W3CDTF">2020-08-06T17:32:19Z</dcterms:modified>
</cp:coreProperties>
</file>