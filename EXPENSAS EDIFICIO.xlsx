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980" windowHeight="80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  <c r="E4" i="1"/>
  <c r="E5" i="1"/>
  <c r="E6" i="1"/>
  <c r="E7" i="1"/>
  <c r="E8" i="1"/>
  <c r="E9" i="1"/>
  <c r="E10" i="1"/>
  <c r="E3" i="1"/>
  <c r="F4" i="1" l="1"/>
  <c r="F5" i="1"/>
  <c r="F6" i="1"/>
  <c r="F7" i="1"/>
  <c r="F8" i="1"/>
  <c r="F9" i="1"/>
  <c r="F10" i="1"/>
  <c r="F3" i="1"/>
  <c r="C4" i="1"/>
  <c r="C5" i="1"/>
  <c r="C6" i="1"/>
  <c r="C7" i="1"/>
  <c r="C8" i="1"/>
  <c r="C9" i="1"/>
  <c r="C10" i="1"/>
  <c r="C3" i="1"/>
</calcChain>
</file>

<file path=xl/sharedStrings.xml><?xml version="1.0" encoding="utf-8"?>
<sst xmlns="http://schemas.openxmlformats.org/spreadsheetml/2006/main" count="16" uniqueCount="16">
  <si>
    <t>00-01</t>
  </si>
  <si>
    <t>00-02</t>
  </si>
  <si>
    <t>00-03</t>
  </si>
  <si>
    <t>00-04</t>
  </si>
  <si>
    <t>01-01</t>
  </si>
  <si>
    <t>01-02</t>
  </si>
  <si>
    <t>01-03</t>
  </si>
  <si>
    <t>01-04</t>
  </si>
  <si>
    <t>%</t>
  </si>
  <si>
    <t>EXPENSAS</t>
  </si>
  <si>
    <t>C/GASTO 80.000</t>
  </si>
  <si>
    <t>C/GASTO 60.000</t>
  </si>
  <si>
    <t>C/GASTO 70.000</t>
  </si>
  <si>
    <t>DEPTO</t>
  </si>
  <si>
    <t>GASTO</t>
  </si>
  <si>
    <t>C/GASTO 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</si>
</sst>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1" fontId="1" fillId="0" borderId="1" xfId="0" applyNumberFormat="1" applyFont="1" applyFill="1" applyBorder="1"/>
    <xf numFmtId="164" fontId="2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Font="1" applyBorder="1"/>
    <xf numFmtId="0" fontId="3" fillId="0" borderId="0" xfId="0" applyFont="1" applyFill="1" applyAlignment="1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81</xdr:row>
      <xdr:rowOff>47625</xdr:rowOff>
    </xdr:from>
    <xdr:to>
      <xdr:col>5</xdr:col>
      <xdr:colOff>676275</xdr:colOff>
      <xdr:row>95</xdr:row>
      <xdr:rowOff>104775</xdr:rowOff>
    </xdr:to>
    <xdr:sp macro="" textlink="">
      <xdr:nvSpPr>
        <xdr:cNvPr id="2" name="1 CuadroTexto"/>
        <xdr:cNvSpPr txBox="1"/>
      </xdr:nvSpPr>
      <xdr:spPr>
        <a:xfrm>
          <a:off x="123825" y="6219825"/>
          <a:ext cx="5314950" cy="2724150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u="sng"/>
            <a:t>OTRAS OBSERVACIONES:</a:t>
          </a:r>
        </a:p>
        <a:p>
          <a:endParaRPr lang="es-ES" sz="1100"/>
        </a:p>
        <a:p>
          <a:r>
            <a:rPr lang="es-ES" sz="1100"/>
            <a:t>1) En expensas de abril  y</a:t>
          </a:r>
          <a:r>
            <a:rPr lang="es-ES" sz="1100" baseline="0"/>
            <a:t> mayo </a:t>
          </a:r>
          <a:r>
            <a:rPr lang="es-ES" sz="1100"/>
            <a:t>colocan detalle del motivo de GASTOS PAGADOS AL 30/04/20 29/05/20 $ 3939,82 y $ 8064,52 y por el detalle, este  gasto lo </a:t>
          </a:r>
          <a:r>
            <a:rPr lang="es-ES" sz="1100" baseline="0"/>
            <a:t> estamos pagando dos  veces. </a:t>
          </a:r>
          <a:r>
            <a:rPr lang="es-ES" sz="1100" b="1" baseline="0"/>
            <a:t>(Total $ 12004,34)</a:t>
          </a:r>
          <a:br>
            <a:rPr lang="es-ES" sz="1100" b="1" baseline="0"/>
          </a:br>
          <a:r>
            <a:rPr lang="es-ES" sz="1100" baseline="0"/>
            <a:t>Sería interesante saber si los meses anteriores pasó lo mismo Febrero ($ 4290,86) y Marzo ($ 3300,57) </a:t>
          </a:r>
          <a:r>
            <a:rPr lang="es-ES" sz="1100" b="1" baseline="0"/>
            <a:t>= $ 7591,43 </a:t>
          </a:r>
          <a:r>
            <a:rPr lang="es-ES" sz="1100"/>
            <a:t/>
          </a:r>
          <a:br>
            <a:rPr lang="es-ES" sz="1100"/>
          </a:br>
          <a:r>
            <a:rPr lang="es-ES" sz="1100"/>
            <a:t/>
          </a:r>
          <a:br>
            <a:rPr lang="es-ES" sz="1100"/>
          </a:br>
          <a:r>
            <a:rPr lang="es-ES" sz="1100"/>
            <a:t>2)</a:t>
          </a:r>
          <a:r>
            <a:rPr lang="es-ES" sz="1100" baseline="0"/>
            <a:t> No figura en SALDO ANTERIOR (el que pasó la anterior Administracion) las cobranzas que hicieron a los departamentos 01-02 ($ 1354), 05-03 ($ 1170), 03-01 ($ 10310), 04-01 ($ 1355), 09-04 ($ 940), y 03-04 ($ 2700).</a:t>
          </a:r>
          <a:br>
            <a:rPr lang="es-ES" sz="1100" baseline="0"/>
          </a:br>
          <a:r>
            <a:rPr lang="es-ES" sz="1100" b="1" baseline="0"/>
            <a:t>Estas tres cobranzas representan $ 17829 y tampoco figura lo que se ha ido cobrando de los convenios de pago</a:t>
          </a:r>
          <a:endParaRPr lang="es-ES" sz="1100" b="0" baseline="0"/>
        </a:p>
        <a:p>
          <a:pPr algn="ctr"/>
          <a:r>
            <a:rPr lang="es-ES" sz="1600" b="1" u="sng" baseline="0"/>
            <a:t>Sumando los tres totales indicados son $ 37424,77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F61" sqref="F61"/>
    </sheetView>
  </sheetViews>
  <sheetFormatPr baseColWidth="10" defaultRowHeight="15" x14ac:dyDescent="0.25"/>
  <cols>
    <col min="1" max="1" width="7.5703125" style="1" bestFit="1" customWidth="1"/>
    <col min="2" max="2" width="15.85546875" customWidth="1"/>
    <col min="3" max="4" width="15" customWidth="1"/>
    <col min="5" max="5" width="14.5703125" customWidth="1"/>
    <col min="6" max="6" width="15" customWidth="1"/>
  </cols>
  <sheetData>
    <row r="1" spans="1:6" x14ac:dyDescent="0.25">
      <c r="A1" s="19" t="s">
        <v>13</v>
      </c>
      <c r="B1" s="20" t="s">
        <v>8</v>
      </c>
      <c r="C1" s="21" t="s">
        <v>9</v>
      </c>
      <c r="D1" s="22"/>
      <c r="E1" s="22"/>
      <c r="F1" s="22"/>
    </row>
    <row r="2" spans="1:6" x14ac:dyDescent="0.25">
      <c r="A2" s="19"/>
      <c r="B2" s="20"/>
      <c r="C2" s="10" t="s">
        <v>11</v>
      </c>
      <c r="D2" s="10" t="s">
        <v>15</v>
      </c>
      <c r="E2" s="10" t="s">
        <v>12</v>
      </c>
      <c r="F2" s="10" t="s">
        <v>10</v>
      </c>
    </row>
    <row r="3" spans="1:6" x14ac:dyDescent="0.25">
      <c r="A3" s="2" t="s">
        <v>0</v>
      </c>
      <c r="B3" s="3">
        <v>1.93</v>
      </c>
      <c r="C3" s="5">
        <f t="shared" ref="C3:C10" si="0">+B3*$E$14/100</f>
        <v>1158</v>
      </c>
      <c r="D3" s="6">
        <f t="shared" ref="D3:D10" si="1">+B3*$E$15/100</f>
        <v>1254.5</v>
      </c>
      <c r="E3" s="11">
        <f t="shared" ref="E3:E10" si="2">+B3*$E$16/100</f>
        <v>1351</v>
      </c>
      <c r="F3" s="11">
        <f t="shared" ref="F3:F10" si="3">+B3*$E$17/100</f>
        <v>1544</v>
      </c>
    </row>
    <row r="4" spans="1:6" x14ac:dyDescent="0.25">
      <c r="A4" s="2" t="s">
        <v>1</v>
      </c>
      <c r="B4" s="3">
        <v>3.72</v>
      </c>
      <c r="C4" s="5">
        <f t="shared" si="0"/>
        <v>2232</v>
      </c>
      <c r="D4" s="6">
        <f t="shared" si="1"/>
        <v>2418</v>
      </c>
      <c r="E4" s="11">
        <f t="shared" si="2"/>
        <v>2604</v>
      </c>
      <c r="F4" s="11">
        <f t="shared" si="3"/>
        <v>2976</v>
      </c>
    </row>
    <row r="5" spans="1:6" x14ac:dyDescent="0.25">
      <c r="A5" s="2" t="s">
        <v>2</v>
      </c>
      <c r="B5" s="3">
        <v>2.5499999999999998</v>
      </c>
      <c r="C5" s="5">
        <f t="shared" si="0"/>
        <v>1530</v>
      </c>
      <c r="D5" s="6">
        <f t="shared" si="1"/>
        <v>1657.5</v>
      </c>
      <c r="E5" s="11">
        <f t="shared" si="2"/>
        <v>1785</v>
      </c>
      <c r="F5" s="11">
        <f t="shared" si="3"/>
        <v>2040</v>
      </c>
    </row>
    <row r="6" spans="1:6" x14ac:dyDescent="0.25">
      <c r="A6" s="2" t="s">
        <v>3</v>
      </c>
      <c r="B6" s="3">
        <v>1.98</v>
      </c>
      <c r="C6" s="5">
        <f t="shared" si="0"/>
        <v>1188</v>
      </c>
      <c r="D6" s="6">
        <f t="shared" si="1"/>
        <v>1287</v>
      </c>
      <c r="E6" s="11">
        <f t="shared" si="2"/>
        <v>1386</v>
      </c>
      <c r="F6" s="11">
        <f t="shared" si="3"/>
        <v>1584</v>
      </c>
    </row>
    <row r="7" spans="1:6" x14ac:dyDescent="0.25">
      <c r="A7" s="2" t="s">
        <v>4</v>
      </c>
      <c r="B7" s="3">
        <v>2.79</v>
      </c>
      <c r="C7" s="5">
        <f t="shared" si="0"/>
        <v>1674</v>
      </c>
      <c r="D7" s="6">
        <f t="shared" si="1"/>
        <v>1813.5</v>
      </c>
      <c r="E7" s="11">
        <f t="shared" si="2"/>
        <v>1953</v>
      </c>
      <c r="F7" s="11">
        <f t="shared" si="3"/>
        <v>2232</v>
      </c>
    </row>
    <row r="8" spans="1:6" x14ac:dyDescent="0.25">
      <c r="A8" s="2" t="s">
        <v>5</v>
      </c>
      <c r="B8" s="3">
        <v>2.81</v>
      </c>
      <c r="C8" s="5">
        <f t="shared" si="0"/>
        <v>1686</v>
      </c>
      <c r="D8" s="6">
        <f t="shared" si="1"/>
        <v>1826.5</v>
      </c>
      <c r="E8" s="11">
        <f t="shared" si="2"/>
        <v>1967</v>
      </c>
      <c r="F8" s="11">
        <f t="shared" si="3"/>
        <v>2248</v>
      </c>
    </row>
    <row r="9" spans="1:6" x14ac:dyDescent="0.25">
      <c r="A9" s="2" t="s">
        <v>6</v>
      </c>
      <c r="B9" s="3">
        <v>2.44</v>
      </c>
      <c r="C9" s="5">
        <f t="shared" si="0"/>
        <v>1464</v>
      </c>
      <c r="D9" s="6">
        <f t="shared" si="1"/>
        <v>1586</v>
      </c>
      <c r="E9" s="11">
        <f t="shared" si="2"/>
        <v>1708</v>
      </c>
      <c r="F9" s="11">
        <f t="shared" si="3"/>
        <v>1952</v>
      </c>
    </row>
    <row r="10" spans="1:6" x14ac:dyDescent="0.25">
      <c r="A10" s="2" t="s">
        <v>7</v>
      </c>
      <c r="B10" s="3">
        <v>1.94</v>
      </c>
      <c r="C10" s="5">
        <f t="shared" si="0"/>
        <v>1164</v>
      </c>
      <c r="D10" s="6">
        <f t="shared" si="1"/>
        <v>1261</v>
      </c>
      <c r="E10" s="11">
        <f t="shared" si="2"/>
        <v>1358</v>
      </c>
      <c r="F10" s="11">
        <f t="shared" si="3"/>
        <v>1552</v>
      </c>
    </row>
    <row r="13" spans="1:6" x14ac:dyDescent="0.25">
      <c r="E13" s="4" t="s">
        <v>14</v>
      </c>
    </row>
    <row r="14" spans="1:6" x14ac:dyDescent="0.25">
      <c r="E14" s="3">
        <v>60000</v>
      </c>
    </row>
    <row r="15" spans="1:6" x14ac:dyDescent="0.25">
      <c r="E15" s="3">
        <v>65000</v>
      </c>
    </row>
    <row r="16" spans="1:6" x14ac:dyDescent="0.25">
      <c r="E16" s="3">
        <v>70000</v>
      </c>
    </row>
    <row r="17" spans="5:5" x14ac:dyDescent="0.25">
      <c r="E17" s="3">
        <v>80000</v>
      </c>
    </row>
    <row r="51" spans="1:5" s="13" customFormat="1" ht="18.75" x14ac:dyDescent="0.3">
      <c r="A51" s="17"/>
      <c r="B51" s="17"/>
      <c r="C51" s="17"/>
      <c r="D51" s="12"/>
      <c r="E51" s="12"/>
    </row>
    <row r="52" spans="1:5" s="13" customFormat="1" x14ac:dyDescent="0.25">
      <c r="C52" s="14"/>
      <c r="E52" s="14"/>
    </row>
    <row r="53" spans="1:5" s="13" customFormat="1" x14ac:dyDescent="0.25">
      <c r="C53" s="14"/>
      <c r="E53" s="14"/>
    </row>
    <row r="54" spans="1:5" s="13" customFormat="1" x14ac:dyDescent="0.25">
      <c r="C54" s="14"/>
      <c r="E54" s="14"/>
    </row>
    <row r="55" spans="1:5" s="13" customFormat="1" ht="15.75" x14ac:dyDescent="0.25">
      <c r="C55" s="14"/>
      <c r="D55" s="9"/>
      <c r="E55" s="14"/>
    </row>
    <row r="56" spans="1:5" s="13" customFormat="1" ht="15.75" x14ac:dyDescent="0.25">
      <c r="A56" s="18"/>
      <c r="B56" s="18"/>
      <c r="C56" s="8"/>
      <c r="D56" s="7"/>
      <c r="E56" s="8"/>
    </row>
    <row r="57" spans="1:5" s="13" customFormat="1" x14ac:dyDescent="0.25">
      <c r="C57" s="14"/>
      <c r="E57" s="14"/>
    </row>
    <row r="58" spans="1:5" s="13" customFormat="1" ht="18.75" x14ac:dyDescent="0.3">
      <c r="A58" s="17"/>
      <c r="B58" s="17"/>
      <c r="C58" s="17"/>
      <c r="D58" s="12"/>
      <c r="E58" s="12"/>
    </row>
    <row r="59" spans="1:5" s="13" customFormat="1" x14ac:dyDescent="0.25">
      <c r="C59" s="14"/>
      <c r="E59" s="14"/>
    </row>
    <row r="60" spans="1:5" s="13" customFormat="1" x14ac:dyDescent="0.25">
      <c r="C60" s="14"/>
      <c r="E60" s="14"/>
    </row>
    <row r="61" spans="1:5" s="13" customFormat="1" x14ac:dyDescent="0.25">
      <c r="C61" s="14"/>
      <c r="E61" s="14"/>
    </row>
    <row r="62" spans="1:5" s="13" customFormat="1" x14ac:dyDescent="0.25">
      <c r="C62" s="14"/>
      <c r="E62" s="14"/>
    </row>
    <row r="63" spans="1:5" s="13" customFormat="1" ht="15.75" x14ac:dyDescent="0.25">
      <c r="A63" s="18"/>
      <c r="B63" s="18"/>
      <c r="C63" s="8"/>
      <c r="D63" s="9"/>
      <c r="E63" s="8"/>
    </row>
    <row r="64" spans="1:5" s="13" customFormat="1" ht="15.75" x14ac:dyDescent="0.25">
      <c r="A64" s="15"/>
      <c r="B64" s="15"/>
      <c r="C64" s="16"/>
      <c r="D64" s="7"/>
    </row>
    <row r="65" spans="1:5" s="13" customFormat="1" x14ac:dyDescent="0.25"/>
    <row r="66" spans="1:5" s="13" customFormat="1" ht="18.75" x14ac:dyDescent="0.3">
      <c r="A66" s="17"/>
      <c r="B66" s="17"/>
      <c r="C66" s="17"/>
      <c r="D66" s="12"/>
      <c r="E66" s="12"/>
    </row>
    <row r="67" spans="1:5" s="13" customFormat="1" x14ac:dyDescent="0.25">
      <c r="C67" s="14"/>
      <c r="E67" s="14"/>
    </row>
    <row r="68" spans="1:5" s="13" customFormat="1" x14ac:dyDescent="0.25">
      <c r="C68" s="14"/>
      <c r="E68" s="14"/>
    </row>
    <row r="69" spans="1:5" s="13" customFormat="1" x14ac:dyDescent="0.25">
      <c r="C69" s="14"/>
      <c r="E69" s="14"/>
    </row>
    <row r="70" spans="1:5" s="13" customFormat="1" x14ac:dyDescent="0.25">
      <c r="C70" s="14"/>
      <c r="E70" s="14"/>
    </row>
    <row r="71" spans="1:5" s="13" customFormat="1" ht="15.75" x14ac:dyDescent="0.25">
      <c r="A71" s="18"/>
      <c r="B71" s="18"/>
      <c r="C71" s="8"/>
      <c r="D71" s="9"/>
      <c r="E71" s="8"/>
    </row>
    <row r="72" spans="1:5" s="13" customFormat="1" ht="15.75" x14ac:dyDescent="0.25">
      <c r="A72" s="15"/>
      <c r="B72" s="15"/>
      <c r="C72" s="8"/>
      <c r="D72" s="7"/>
      <c r="E72" s="14"/>
    </row>
    <row r="73" spans="1:5" s="13" customFormat="1" x14ac:dyDescent="0.25"/>
    <row r="74" spans="1:5" s="13" customFormat="1" ht="18.75" x14ac:dyDescent="0.3">
      <c r="A74" s="17"/>
      <c r="B74" s="17"/>
      <c r="C74" s="17"/>
      <c r="D74" s="12"/>
      <c r="E74" s="12"/>
    </row>
    <row r="75" spans="1:5" s="13" customFormat="1" x14ac:dyDescent="0.25">
      <c r="C75" s="14"/>
      <c r="E75" s="14"/>
    </row>
    <row r="76" spans="1:5" s="13" customFormat="1" x14ac:dyDescent="0.25">
      <c r="C76" s="14"/>
      <c r="E76" s="14"/>
    </row>
    <row r="77" spans="1:5" s="13" customFormat="1" x14ac:dyDescent="0.25">
      <c r="C77" s="14"/>
      <c r="E77" s="14"/>
    </row>
    <row r="78" spans="1:5" s="13" customFormat="1" x14ac:dyDescent="0.25">
      <c r="C78" s="14"/>
      <c r="E78" s="14"/>
    </row>
    <row r="79" spans="1:5" s="13" customFormat="1" ht="15.75" x14ac:dyDescent="0.25">
      <c r="A79" s="15"/>
      <c r="B79" s="15"/>
      <c r="C79" s="8"/>
      <c r="D79" s="9"/>
      <c r="E79" s="8"/>
    </row>
    <row r="80" spans="1:5" s="13" customFormat="1" ht="15.75" x14ac:dyDescent="0.25">
      <c r="A80" s="15"/>
      <c r="B80" s="15"/>
      <c r="C80" s="8"/>
      <c r="D80" s="7"/>
    </row>
    <row r="81" s="13" customFormat="1" x14ac:dyDescent="0.25"/>
    <row r="82" s="13" customFormat="1" x14ac:dyDescent="0.25"/>
    <row r="83" s="13" customFormat="1" x14ac:dyDescent="0.25"/>
    <row r="84" s="13" customFormat="1" x14ac:dyDescent="0.25"/>
    <row r="85" s="13" customFormat="1" x14ac:dyDescent="0.25"/>
    <row r="86" s="13" customFormat="1" x14ac:dyDescent="0.25"/>
    <row r="87" s="13" customFormat="1" x14ac:dyDescent="0.25"/>
    <row r="88" s="13" customFormat="1" x14ac:dyDescent="0.25"/>
    <row r="89" s="13" customFormat="1" x14ac:dyDescent="0.25"/>
    <row r="90" s="13" customFormat="1" x14ac:dyDescent="0.25"/>
    <row r="91" s="13" customFormat="1" x14ac:dyDescent="0.25"/>
    <row r="92" s="13" customFormat="1" x14ac:dyDescent="0.25"/>
    <row r="93" s="13" customFormat="1" x14ac:dyDescent="0.25"/>
    <row r="94" s="13" customFormat="1" x14ac:dyDescent="0.25"/>
    <row r="95" s="13" customFormat="1" x14ac:dyDescent="0.25"/>
    <row r="96" s="13" customFormat="1" x14ac:dyDescent="0.25"/>
    <row r="97" s="13" customFormat="1" x14ac:dyDescent="0.25"/>
    <row r="98" s="13" customFormat="1" x14ac:dyDescent="0.25"/>
    <row r="99" s="13" customFormat="1" x14ac:dyDescent="0.25"/>
  </sheetData>
  <mergeCells count="10">
    <mergeCell ref="A1:A2"/>
    <mergeCell ref="B1:B2"/>
    <mergeCell ref="C1:F1"/>
    <mergeCell ref="A51:C51"/>
    <mergeCell ref="A74:C74"/>
    <mergeCell ref="A56:B56"/>
    <mergeCell ref="A58:C58"/>
    <mergeCell ref="A63:B63"/>
    <mergeCell ref="A66:C66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Suc. Rosario - Vicente Walter</dc:creator>
  <cp:lastModifiedBy>Suc. Rosario - Vicente Walter</cp:lastModifiedBy>
  <cp:lastPrinted>2020-07-07T17:37:36Z</cp:lastPrinted>
  <dcterms:created xsi:type="dcterms:W3CDTF">2020-03-11T11:18:07Z</dcterms:created>
  <dcterms:modified xsi:type="dcterms:W3CDTF">2020-07-07T17:40:04Z</dcterms:modified>
</cp:coreProperties>
</file>